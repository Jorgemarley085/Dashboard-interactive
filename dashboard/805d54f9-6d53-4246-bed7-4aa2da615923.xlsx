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dev\cursos-dio\Dashboard-interative\dashboard\"/>
    </mc:Choice>
  </mc:AlternateContent>
  <xr:revisionPtr revIDLastSave="0" documentId="8_{45CF7A0C-22D6-49CC-B825-B5B629CAC424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11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6" i="3" l="1"/>
  <c r="D21" i="3"/>
</calcChain>
</file>

<file path=xl/sharedStrings.xml><?xml version="1.0" encoding="utf-8"?>
<sst xmlns="http://schemas.openxmlformats.org/spreadsheetml/2006/main" count="2017" uniqueCount="322">
  <si>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</si>
  <si>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</si>
  <si>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</si>
  <si>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</si>
  <si>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</si>
  <si>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</si>
  <si>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</si>
  <si>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</si>
  <si>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</si>
  <si>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</si>
  <si>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</si>
  <si>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</si>
  <si>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</si>
  <si>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</si>
  <si>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</si>
  <si>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</si>
  <si>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</si>
  <si>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</si>
  <si>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</si>
  <si>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</si>
  <si>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</si>
  <si>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</si>
  <si>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</si>
  <si>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</si>
  <si>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</si>
  <si>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</si>
  <si>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</si>
  <si>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</si>
  <si>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</si>
  <si>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</si>
  <si>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</si>
  <si>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</si>
  <si>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</si>
  <si>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</si>
  <si>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</si>
  <si>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</si>
  <si>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</si>
  <si>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</si>
  <si>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</si>
  <si>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</si>
  <si>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</si>
  <si>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</si>
  <si>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</si>
  <si>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</si>
  <si>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</si>
  <si>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</si>
  <si>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</si>
  <si>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</si>
  <si>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</si>
  <si>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</si>
  <si>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</si>
  <si>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</si>
  <si>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</si>
  <si>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</si>
  <si>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</si>
  <si>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</si>
  <si>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</si>
  <si>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</si>
  <si>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</si>
  <si>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</si>
  <si>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</si>
  <si>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</si>
  <si>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</si>
  <si>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</si>
  <si>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</si>
  <si>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</si>
  <si>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</si>
  <si>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</si>
  <si>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</si>
  <si>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</si>
  <si>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</si>
  <si>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</si>
  <si>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</si>
  <si>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</si>
  <si>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</si>
  <si>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</si>
  <si>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</si>
  <si>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</si>
  <si>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</si>
  <si>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</si>
  <si>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</si>
  <si>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</si>
  <si>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</si>
  <si>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</si>
  <si>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</si>
  <si>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</si>
  <si>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</si>
  <si>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</si>
  <si>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</si>
  <si>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</si>
  <si>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</si>
  <si>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</si>
  <si>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</si>
  <si>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</si>
  <si>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</si>
  <si>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</si>
  <si>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</si>
  <si>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</si>
  <si>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</si>
  <si>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</si>
  <si>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</si>
  <si>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</si>
  <si>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</si>
  <si>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</si>
  <si>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</si>
  <si>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</si>
  <si>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</si>
  <si>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</si>
  <si>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</si>
  <si>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</si>
  <si>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</si>
  <si>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</si>
  <si>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</si>
  <si>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</si>
  <si>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</si>
  <si>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</si>
  <si>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</si>
  <si>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</si>
  <si>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</si>
  <si>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</si>
  <si>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</si>
  <si>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</si>
  <si>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</si>
  <si>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</si>
  <si>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</si>
  <si>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</si>
  <si>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</si>
  <si>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</si>
  <si>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</si>
  <si>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</si>
  <si>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</si>
  <si>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</si>
  <si>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</si>
  <si>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</si>
  <si>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</si>
  <si>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</si>
  <si>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</si>
  <si>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</si>
  <si>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</si>
  <si>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</si>
  <si>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</si>
  <si>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</si>
  <si>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</si>
  <si>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</si>
  <si>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</si>
  <si>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</si>
  <si>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</si>
  <si>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</si>
  <si>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</si>
  <si>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</si>
  <si>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</si>
  <si>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</si>
  <si>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</si>
  <si>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</si>
  <si>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</si>
  <si>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</si>
  <si>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</si>
  <si>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</si>
  <si>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</si>
  <si>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</si>
  <si>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</si>
  <si>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</si>
  <si>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</si>
  <si>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</si>
  <si>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</si>
  <si>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</si>
  <si>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</si>
  <si>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</si>
  <si>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</si>
  <si>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</si>
  <si>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</si>
  <si>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</si>
  <si>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</si>
  <si>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</si>
  <si>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</si>
  <si>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</si>
  <si>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</si>
  <si>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</si>
  <si>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</si>
  <si>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</si>
  <si>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</si>
  <si>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</si>
  <si>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</si>
  <si>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</si>
  <si>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</si>
  <si>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</si>
  <si>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</si>
  <si>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</si>
  <si>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</si>
  <si>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</si>
  <si>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</si>
  <si>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</si>
  <si>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</si>
  <si>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</si>
  <si>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</si>
  <si>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</si>
  <si>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</si>
  <si>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</si>
  <si>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</si>
  <si>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</si>
  <si>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</si>
  <si>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</si>
  <si>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</si>
  <si>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</si>
  <si>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</si>
  <si>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</si>
  <si>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</si>
  <si>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</si>
  <si>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</si>
  <si>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</si>
  <si>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</si>
  <si>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</si>
  <si>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</si>
  <si>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</si>
  <si>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</si>
  <si>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</si>
  <si>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</si>
  <si>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</si>
  <si>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</si>
  <si>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</si>
  <si>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</si>
  <si>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</si>
  <si>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</si>
  <si>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</si>
  <si>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</si>
  <si>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</si>
  <si>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</si>
  <si>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</si>
  <si>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</si>
  <si>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</si>
  <si>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</si>
  <si>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</si>
  <si>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</si>
  <si>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</si>
  <si>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</si>
  <si>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</si>
  <si>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</si>
  <si>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</si>
  <si>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</si>
  <si>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</si>
  <si>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</si>
  <si>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</si>
  <si>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</si>
  <si>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</si>
  <si>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</si>
  <si>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</si>
  <si>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</si>
  <si>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</si>
  <si>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</si>
  <si>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</si>
  <si>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</si>
  <si>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</si>
  <si>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</si>
  <si>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</si>
  <si>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</si>
  <si>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</si>
  <si>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</si>
  <si>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</si>
  <si>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</si>
  <si>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</si>
  <si>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</si>
  <si>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</si>
  <si>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</si>
  <si>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</si>
  <si>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</si>
  <si>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</si>
  <si>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</si>
  <si>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</si>
  <si>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</si>
  <si>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</si>
  <si>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</si>
  <si>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</si>
  <si>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</si>
  <si>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</si>
  <si>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</si>
  <si>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</si>
  <si>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</si>
  <si>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</si>
  <si>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</si>
  <si>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</si>
  <si>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</si>
  <si>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</si>
  <si>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</si>
  <si>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</si>
  <si>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</si>
  <si>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</si>
  <si>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</si>
  <si>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</si>
  <si>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</si>
  <si>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</si>
  <si>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</si>
  <si>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</si>
  <si>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</si>
  <si>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</si>
  <si>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</si>
  <si>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</si>
  <si>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</si>
  <si>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</si>
  <si>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</si>
  <si>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</si>
  <si>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</si>
  <si>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</si>
  <si>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</si>
  <si>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</si>
  <si>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</si>
  <si>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</si>
  <si>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</si>
  <si>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</si>
  <si>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</si>
  <si>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</si>
  <si>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</si>
  <si>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</si>
  <si>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</si>
  <si>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Soma de Total Value</t>
  </si>
  <si>
    <t>Rótulos de Linha</t>
  </si>
  <si>
    <t>Total Geral</t>
  </si>
  <si>
    <t>qual faturamento de vendas plano anual</t>
  </si>
  <si>
    <t>qual faturamento de vendas no plano anual auto renovavel e não auto renovavel</t>
  </si>
  <si>
    <t>XBOX GAMES SUBSCRIPTION SALES</t>
  </si>
  <si>
    <t>Soma de EA Play Season Pass</t>
  </si>
  <si>
    <t>TOTAL DE ASSINATURA DO MINECRAFT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</si>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</sst>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  <font>
      <u val="double"/>
      <sz val="11"/>
      <color theme="1"/>
      <name val="Aptos Narrow"/>
      <family val="2"/>
      <scheme val="minor"/>
    </font>
    <font>
      <b/>
      <sz val="16"/>
      <color theme="0"/>
      <name val="Arial Rounded MT Bold"/>
      <family val="2"/>
    </font>
  </fonts>
  <fills count="12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4EA72E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9" tint="-0.24994659260841701"/>
      </left>
      <right/>
      <top/>
      <bottom style="thin">
        <color theme="9" tint="-0.24994659260841701"/>
      </bottom>
      <diagonal/>
    </border>
    <border>
      <left/>
      <right/>
      <top/>
      <bottom style="thin">
        <color theme="9" tint="-0.24994659260841701"/>
      </bottom>
      <diagonal/>
    </border>
    <border>
      <left/>
      <right style="thin">
        <color theme="9" tint="-0.24994659260841701"/>
      </right>
      <top/>
      <bottom style="thin">
        <color theme="9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0" applyNumberFormat="1"/>
    <xf numFmtId="0" fontId="0" fillId="9" borderId="0" xfId="0" applyFill="1"/>
    <xf numFmtId="0" fontId="5" fillId="0" borderId="0" xfId="0" applyFont="1"/>
    <xf numFmtId="0" fontId="0" fillId="7" borderId="0" xfId="0" applyFill="1" applyBorder="1"/>
    <xf numFmtId="0" fontId="7" fillId="10" borderId="3" xfId="0" applyFont="1" applyFill="1" applyBorder="1" applyAlignment="1">
      <alignment vertical="center"/>
    </xf>
    <xf numFmtId="0" fontId="4" fillId="10" borderId="4" xfId="0" applyFont="1" applyFill="1" applyBorder="1"/>
    <xf numFmtId="0" fontId="4" fillId="10" borderId="5" xfId="0" applyFont="1" applyFill="1" applyBorder="1"/>
    <xf numFmtId="0" fontId="0" fillId="11" borderId="0" xfId="0" applyFill="1"/>
    <xf numFmtId="2" fontId="0" fillId="0" borderId="0" xfId="0" applyNumberFormat="1"/>
    <xf numFmtId="0" fontId="6" fillId="7" borderId="0" xfId="0" applyFont="1" applyFill="1" applyBorder="1"/>
    <xf numFmtId="0" fontId="0" fillId="7" borderId="0" xfId="0" applyFont="1" applyFill="1" applyBorder="1"/>
    <xf numFmtId="2" fontId="3" fillId="8" borderId="2" xfId="0" applyNumberFormat="1" applyFont="1" applyFill="1" applyBorder="1"/>
    <xf numFmtId="44" fontId="5" fillId="0" borderId="0" xfId="2" applyFont="1"/>
    <xf numFmtId="44" fontId="0" fillId="0" borderId="0" xfId="2" applyFont="1"/>
  </cellXfs>
  <cellStyles count="3">
    <cellStyle name="Moeda" xfId="2" builtinId="4"/>
    <cellStyle name="Normal" xfId="0" builtinId="0"/>
    <cellStyle name="Título 1" xfId="1" builtinId="16"/>
  </cellStyles>
  <dxfs count="64"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2" formatCode="0.00"/>
    </dxf>
    <dxf>
      <numFmt numFmtId="34" formatCode="_-&quot;R$&quot;\ * #,##0.00_-;\-&quot;R$&quot;\ * #,##0.00_-;_-&quot;R$&quot;\ * &quot;-&quot;??_-;_-@_-"/>
    </dxf>
    <dxf>
      <numFmt numFmtId="2" formatCode="0.00"/>
    </dxf>
    <dxf>
      <font>
        <b/>
        <i/>
        <color theme="0"/>
        <name val="Arial Black"/>
        <family val="2"/>
        <scheme val="none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4EA72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none">
          <fgColor indexed="64"/>
          <bgColor auto="1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fgColor rgb="FF4EA72E"/>
          <bgColor rgb="FF4EA72E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4" defaultTableStyle="TableStyleMedium2" defaultPivotStyle="PivotStyleLight16">
    <tableStyle name="SlicerStyleLight6 2" pivot="0" table="0" count="10" xr9:uid="{7AC1B0C9-2195-46B1-8764-5C9E246FD240}">
      <tableStyleElement type="wholeTable" dxfId="47"/>
      <tableStyleElement type="headerRow" dxfId="46"/>
    </tableStyle>
    <tableStyle name="SlicerStyleLight6 3" pivot="0" table="0" count="10" xr9:uid="{DAB5579E-750A-4AA3-965D-4027FFAD3515}">
      <tableStyleElement type="wholeTable" dxfId="41"/>
      <tableStyleElement type="headerRow" dxfId="40"/>
    </tableStyle>
    <tableStyle name="SlicerStyleLight6 4" pivot="0" table="0" count="10" xr9:uid="{0B2C6DBF-68CD-4EED-8856-CA7B6047C971}">
      <tableStyleElement type="wholeTable" dxfId="45"/>
      <tableStyleElement type="headerRow" dxfId="44"/>
    </tableStyle>
    <tableStyle name="SlicerStyleLight6 5" pivot="0" table="0" count="10" xr9:uid="{514C6209-6782-495C-8872-C8814E11F6A1}">
      <tableStyleElement type="wholeTable" dxfId="43"/>
      <tableStyleElement type="headerRow" dxfId="42"/>
    </tableStyle>
  </tableStyles>
  <colors>
    <mruColors>
      <color rgb="FFE8E6E9"/>
      <color rgb="FFF7F8FC"/>
      <color rgb="FF4EA72E"/>
      <color rgb="FF2AE6B1"/>
      <color rgb="FF5BF6A8"/>
      <color rgb="FF22C55E"/>
      <color rgb="FF000000"/>
      <color rgb="FFE0E0E0"/>
      <color rgb="FFEDEDED"/>
      <color rgb="FF9BC848"/>
    </mruColors>
  </color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31"/>
            <x14:slicerStyleElement type="unselectedItemWithNoData" dxfId="30"/>
            <x14:slicerStyleElement type="selectedItemWithData" dxfId="29"/>
            <x14:slicerStyleElement type="selectedItemWithNoData" dxfId="28"/>
            <x14:slicerStyleElement type="hoveredUnselectedItemWithData" dxfId="27"/>
            <x14:slicerStyleElement type="hoveredSelectedItemWithData" dxfId="26"/>
            <x14:slicerStyleElement type="hoveredUnselectedItemWithNoData" dxfId="25"/>
            <x14:slicerStyleElement type="hoveredSelectedItemWithNoData" dxfId="24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  <x14:slicerStyle name="SlicerStyleLight6 4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SlicerStyleLight6 5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dinâmica3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1" i="0" u="none" strike="noStrike" kern="1200" baseline="0">
                  <a:solidFill>
                    <a:schemeClr val="accent6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accent6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C̳álculos!$A$4:$A$7</c:f>
              <c:multiLvlStrCache>
                <c:ptCount val="2"/>
                <c:lvl>
                  <c:pt idx="0">
                    <c:v>No</c:v>
                  </c:pt>
                  <c:pt idx="1">
                    <c:v>Yes</c:v>
                  </c:pt>
                </c:lvl>
                <c:lvl>
                  <c:pt idx="0">
                    <c:v>Annual</c:v>
                  </c:pt>
                </c:lvl>
              </c:multiLvlStrCache>
            </c:multiLvlStrRef>
          </c:cat>
          <c:val>
            <c:numRef>
              <c:f>C̳álculos!$B$4:$B$7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8A-402C-876B-5134E27D4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3824159"/>
        <c:axId val="1593822911"/>
      </c:barChart>
      <c:catAx>
        <c:axId val="159382415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3822911"/>
        <c:crosses val="autoZero"/>
        <c:auto val="1"/>
        <c:lblAlgn val="ctr"/>
        <c:lblOffset val="100"/>
        <c:noMultiLvlLbl val="0"/>
      </c:catAx>
      <c:valAx>
        <c:axId val="1593822911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593824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89534</xdr:colOff>
      <xdr:row>12</xdr:row>
      <xdr:rowOff>123062</xdr:rowOff>
    </xdr:from>
    <xdr:to>
      <xdr:col>3</xdr:col>
      <xdr:colOff>370931</xdr:colOff>
      <xdr:row>15</xdr:row>
      <xdr:rowOff>3810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0094" y="2462402"/>
          <a:ext cx="1622517" cy="459868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118235" y="5227319"/>
          <a:ext cx="1732356" cy="69151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8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15790333" y="381000"/>
          <a:ext cx="304800" cy="298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12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190501</xdr:rowOff>
    </xdr:from>
    <xdr:to>
      <xdr:col>0</xdr:col>
      <xdr:colOff>895351</xdr:colOff>
      <xdr:row>0</xdr:row>
      <xdr:rowOff>781051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91BC9E30-F501-4B47-87C4-FF4F749206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61" t="18636" r="71941" b="23593"/>
        <a:stretch/>
      </xdr:blipFill>
      <xdr:spPr>
        <a:xfrm>
          <a:off x="247650" y="190501"/>
          <a:ext cx="647701" cy="5905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98788</xdr:rowOff>
    </xdr:from>
    <xdr:to>
      <xdr:col>0</xdr:col>
      <xdr:colOff>1827712</xdr:colOff>
      <xdr:row>22</xdr:row>
      <xdr:rowOff>150223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FC9513F4-52E8-451A-901C-55F69DC092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37188"/>
              <a:ext cx="1827712" cy="25729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142875</xdr:colOff>
      <xdr:row>4</xdr:row>
      <xdr:rowOff>78365</xdr:rowOff>
    </xdr:from>
    <xdr:to>
      <xdr:col>10</xdr:col>
      <xdr:colOff>457201</xdr:colOff>
      <xdr:row>15</xdr:row>
      <xdr:rowOff>4763</xdr:rowOff>
    </xdr:to>
    <xdr:grpSp>
      <xdr:nvGrpSpPr>
        <xdr:cNvPr id="14" name="Agrupar 13">
          <a:extLst>
            <a:ext uri="{FF2B5EF4-FFF2-40B4-BE49-F238E27FC236}">
              <a16:creationId xmlns:a16="http://schemas.microsoft.com/office/drawing/2014/main" id="{B078A8BF-1C78-44E5-B114-9BA53F394C7A}"/>
            </a:ext>
          </a:extLst>
        </xdr:cNvPr>
        <xdr:cNvGrpSpPr/>
      </xdr:nvGrpSpPr>
      <xdr:grpSpPr>
        <a:xfrm>
          <a:off x="1985530" y="1671638"/>
          <a:ext cx="5911562" cy="2032289"/>
          <a:chOff x="1985530" y="1562966"/>
          <a:chExt cx="5911562" cy="2032289"/>
        </a:xfrm>
      </xdr:grpSpPr>
      <xdr:sp macro="" textlink="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41A7F6FC-C2E9-4DD5-A1C9-AF8056D0BB8C}"/>
              </a:ext>
            </a:extLst>
          </xdr:cNvPr>
          <xdr:cNvSpPr/>
        </xdr:nvSpPr>
        <xdr:spPr>
          <a:xfrm>
            <a:off x="2023631" y="1562966"/>
            <a:ext cx="5873461" cy="2032289"/>
          </a:xfrm>
          <a:prstGeom prst="roundRect">
            <a:avLst>
              <a:gd name="adj" fmla="val 0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D21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BD02C33B-812B-4C2E-868C-57834E9D7D8C}"/>
              </a:ext>
            </a:extLst>
          </xdr:cNvPr>
          <xdr:cNvSpPr/>
        </xdr:nvSpPr>
        <xdr:spPr>
          <a:xfrm>
            <a:off x="3764108" y="1775113"/>
            <a:ext cx="2545773" cy="1555172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52A16433-26E5-43B1-889A-5012C4CEB3F8}" type="TxLink">
              <a:rPr lang="en-US" sz="2800" b="1" i="0" u="none" strike="noStrike">
                <a:solidFill>
                  <a:schemeClr val="accent6">
                    <a:lumMod val="75000"/>
                  </a:schemeClr>
                </a:solidFill>
                <a:latin typeface="Aptos Narrow"/>
              </a:rPr>
              <a:t> R$ 600,00 </a:t>
            </a:fld>
            <a:endParaRPr lang="pt-BR" sz="7200">
              <a:solidFill>
                <a:schemeClr val="accent6">
                  <a:lumMod val="75000"/>
                </a:schemeClr>
              </a:solidFill>
            </a:endParaRPr>
          </a:p>
        </xdr:txBody>
      </xdr:sp>
      <xdr:pic>
        <xdr:nvPicPr>
          <xdr:cNvPr id="11" name="Imagem 10">
            <a:extLst>
              <a:ext uri="{FF2B5EF4-FFF2-40B4-BE49-F238E27FC236}">
                <a16:creationId xmlns:a16="http://schemas.microsoft.com/office/drawing/2014/main" id="{5EB29C48-E33A-43DE-83FB-800DEB763C6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985530" y="2033155"/>
            <a:ext cx="1340254" cy="1159971"/>
          </a:xfrm>
          <a:prstGeom prst="rect">
            <a:avLst/>
          </a:prstGeom>
        </xdr:spPr>
      </xdr:pic>
      <xdr:sp macro="" textlink="">
        <xdr:nvSpPr>
          <xdr:cNvPr id="12" name="Retângulo: Cantos Arredondados 11">
            <a:extLst>
              <a:ext uri="{FF2B5EF4-FFF2-40B4-BE49-F238E27FC236}">
                <a16:creationId xmlns:a16="http://schemas.microsoft.com/office/drawing/2014/main" id="{EF5F853D-0762-482D-8C1C-172D518187B4}"/>
              </a:ext>
            </a:extLst>
          </xdr:cNvPr>
          <xdr:cNvSpPr/>
        </xdr:nvSpPr>
        <xdr:spPr>
          <a:xfrm>
            <a:off x="2023630" y="1572491"/>
            <a:ext cx="5873461" cy="393989"/>
          </a:xfrm>
          <a:prstGeom prst="roundRect">
            <a:avLst>
              <a:gd name="adj" fmla="val 0"/>
            </a:avLst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600">
                <a:latin typeface="Arial Rounded MT Bold" panose="020F0704030504030204" pitchFamily="34" charset="0"/>
              </a:rPr>
              <a:t>TOTAL DE SUBCRIPTION</a:t>
            </a:r>
            <a:r>
              <a:rPr lang="pt-BR" sz="1600" baseline="0">
                <a:latin typeface="Arial Rounded MT Bold" panose="020F0704030504030204" pitchFamily="34" charset="0"/>
              </a:rPr>
              <a:t> EA PLAY SEASON PASS</a:t>
            </a:r>
            <a:endParaRPr lang="pt-BR" sz="1600">
              <a:latin typeface="Arial Rounded MT Bold" panose="020F0704030504030204" pitchFamily="34" charset="0"/>
            </a:endParaRPr>
          </a:p>
        </xdr:txBody>
      </xdr:sp>
    </xdr:grpSp>
    <xdr:clientData/>
  </xdr:twoCellAnchor>
  <xdr:twoCellAnchor>
    <xdr:from>
      <xdr:col>17</xdr:col>
      <xdr:colOff>93515</xdr:colOff>
      <xdr:row>3</xdr:row>
      <xdr:rowOff>55419</xdr:rowOff>
    </xdr:from>
    <xdr:to>
      <xdr:col>26</xdr:col>
      <xdr:colOff>595744</xdr:colOff>
      <xdr:row>15</xdr:row>
      <xdr:rowOff>124690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3B6B00E8-B8D7-49E4-929C-60DC201B0855}"/>
            </a:ext>
          </a:extLst>
        </xdr:cNvPr>
        <xdr:cNvGrpSpPr/>
      </xdr:nvGrpSpPr>
      <xdr:grpSpPr>
        <a:xfrm>
          <a:off x="12022279" y="1551710"/>
          <a:ext cx="6487392" cy="2272144"/>
          <a:chOff x="12119261" y="1565565"/>
          <a:chExt cx="6487392" cy="2272144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6F1DA623-EE19-4FE0-9F4D-BA9928EE81E4}"/>
              </a:ext>
            </a:extLst>
          </xdr:cNvPr>
          <xdr:cNvGrpSpPr/>
        </xdr:nvGrpSpPr>
        <xdr:grpSpPr>
          <a:xfrm>
            <a:off x="12119261" y="1565565"/>
            <a:ext cx="6487392" cy="2272144"/>
            <a:chOff x="12950536" y="1579419"/>
            <a:chExt cx="5873462" cy="2032289"/>
          </a:xfrm>
        </xdr:grpSpPr>
        <xdr:sp macro="" textlink="">
          <xdr:nvSpPr>
            <xdr:cNvPr id="16" name="Retângulo: Cantos Arredondados 15">
              <a:extLst>
                <a:ext uri="{FF2B5EF4-FFF2-40B4-BE49-F238E27FC236}">
                  <a16:creationId xmlns:a16="http://schemas.microsoft.com/office/drawing/2014/main" id="{6288ADD7-400F-4CCF-A040-DD85A9875F75}"/>
                </a:ext>
              </a:extLst>
            </xdr:cNvPr>
            <xdr:cNvSpPr/>
          </xdr:nvSpPr>
          <xdr:spPr>
            <a:xfrm>
              <a:off x="12950537" y="1579419"/>
              <a:ext cx="5873461" cy="2032289"/>
            </a:xfrm>
            <a:prstGeom prst="roundRect">
              <a:avLst>
                <a:gd name="adj" fmla="val 0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D36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5775F4A6-449A-48E5-9847-7278864B0D53}"/>
                </a:ext>
              </a:extLst>
            </xdr:cNvPr>
            <xdr:cNvSpPr/>
          </xdr:nvSpPr>
          <xdr:spPr>
            <a:xfrm>
              <a:off x="14590667" y="1717214"/>
              <a:ext cx="2545773" cy="1555172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37EC35B1-CD01-4863-9653-919B529B1E26}" type="TxLink">
                <a:rPr lang="en-US" sz="3200" b="1" i="0" u="none" strike="noStrike">
                  <a:solidFill>
                    <a:schemeClr val="accent6">
                      <a:lumMod val="75000"/>
                    </a:schemeClr>
                  </a:solidFill>
                  <a:latin typeface="Aptos Narrow"/>
                </a:rPr>
                <a:t> R$ 940,00 </a:t>
              </a:fld>
              <a:endParaRPr lang="pt-BR" sz="23900" b="1">
                <a:solidFill>
                  <a:schemeClr val="accent6">
                    <a:lumMod val="75000"/>
                  </a:schemeClr>
                </a:solidFill>
              </a:endParaRPr>
            </a:p>
          </xdr:txBody>
        </xdr:sp>
        <xdr:sp macro="" textlink="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2D1D7983-7268-4008-9539-13A75E162ABA}"/>
                </a:ext>
              </a:extLst>
            </xdr:cNvPr>
            <xdr:cNvSpPr/>
          </xdr:nvSpPr>
          <xdr:spPr>
            <a:xfrm>
              <a:off x="12950536" y="1588944"/>
              <a:ext cx="5873461" cy="393989"/>
            </a:xfrm>
            <a:prstGeom prst="roundRect">
              <a:avLst>
                <a:gd name="adj" fmla="val 0"/>
              </a:avLst>
            </a:prstGeom>
            <a:solidFill>
              <a:schemeClr val="accent6">
                <a:lumMod val="75000"/>
              </a:schemeClr>
            </a:solidFill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pt-BR" sz="1600">
                  <a:latin typeface="Arial Rounded MT Bold" panose="020F0704030504030204" pitchFamily="34" charset="0"/>
                </a:rPr>
                <a:t>TOTAL DE SUBCRIPTION</a:t>
              </a:r>
              <a:r>
                <a:rPr lang="pt-BR" sz="1600" baseline="0">
                  <a:latin typeface="Arial Rounded MT Bold" panose="020F0704030504030204" pitchFamily="34" charset="0"/>
                </a:rPr>
                <a:t> MINECRAFT SEASON PASS</a:t>
              </a:r>
              <a:endParaRPr lang="pt-BR" sz="1600">
                <a:latin typeface="Arial Rounded MT Bold" panose="020F0704030504030204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23073CE0-CAEC-4CA8-8A9A-C1C54FED4F95}"/>
              </a:ext>
            </a:extLst>
          </xdr:cNvPr>
          <xdr:cNvGrpSpPr/>
        </xdr:nvGrpSpPr>
        <xdr:grpSpPr>
          <a:xfrm>
            <a:off x="12368643" y="2216726"/>
            <a:ext cx="1333502" cy="955965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0FF45ED5-2AA6-48D9-8D73-D598A20D8E63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7C93EA06-C407-495D-975A-925A23D0D39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13854</xdr:colOff>
      <xdr:row>22</xdr:row>
      <xdr:rowOff>135946</xdr:rowOff>
    </xdr:from>
    <xdr:to>
      <xdr:col>27</xdr:col>
      <xdr:colOff>13855</xdr:colOff>
      <xdr:row>53</xdr:row>
      <xdr:rowOff>110835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FACFD264-3731-43D8-8DE5-BC12C21D4191}"/>
            </a:ext>
          </a:extLst>
        </xdr:cNvPr>
        <xdr:cNvGrpSpPr/>
      </xdr:nvGrpSpPr>
      <xdr:grpSpPr>
        <a:xfrm>
          <a:off x="1856509" y="5095873"/>
          <a:ext cx="16736291" cy="5558271"/>
          <a:chOff x="1856509" y="5095873"/>
          <a:chExt cx="14644255" cy="5558271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96A0196F-5448-42CC-9090-B493CE0D22A6}"/>
              </a:ext>
            </a:extLst>
          </xdr:cNvPr>
          <xdr:cNvGrpSpPr/>
        </xdr:nvGrpSpPr>
        <xdr:grpSpPr>
          <a:xfrm>
            <a:off x="1856509" y="5140036"/>
            <a:ext cx="14644255" cy="5514108"/>
            <a:chOff x="2163958" y="1373789"/>
            <a:chExt cx="6354575" cy="5253153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E3DCB0D7-DDE2-4253-B9E6-572C0F6682D3}"/>
                </a:ext>
              </a:extLst>
            </xdr:cNvPr>
            <xdr:cNvSpPr/>
          </xdr:nvSpPr>
          <xdr:spPr>
            <a:xfrm>
              <a:off x="2163958" y="1373789"/>
              <a:ext cx="6354575" cy="5253153"/>
            </a:xfrm>
            <a:prstGeom prst="roundRect">
              <a:avLst>
                <a:gd name="adj" fmla="val 3201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4037C25-E8D8-4875-A690-2BBBC85F490B}"/>
                </a:ext>
              </a:extLst>
            </xdr:cNvPr>
            <xdr:cNvGraphicFramePr>
              <a:graphicFrameLocks/>
            </xdr:cNvGraphicFramePr>
          </xdr:nvGraphicFramePr>
          <xdr:xfrm>
            <a:off x="2270530" y="2040701"/>
            <a:ext cx="5575119" cy="403179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33" name="Retângulo: Cantos Arredondados 32">
            <a:extLst>
              <a:ext uri="{FF2B5EF4-FFF2-40B4-BE49-F238E27FC236}">
                <a16:creationId xmlns:a16="http://schemas.microsoft.com/office/drawing/2014/main" id="{C3A4191E-42DF-4150-BD0A-93E389D6F86B}"/>
              </a:ext>
            </a:extLst>
          </xdr:cNvPr>
          <xdr:cNvSpPr/>
        </xdr:nvSpPr>
        <xdr:spPr>
          <a:xfrm>
            <a:off x="1862627" y="5095873"/>
            <a:ext cx="14610428" cy="576869"/>
          </a:xfrm>
          <a:prstGeom prst="roundRect">
            <a:avLst>
              <a:gd name="adj" fmla="val 0"/>
            </a:avLst>
          </a:prstGeom>
          <a:solidFill>
            <a:schemeClr val="accent6">
              <a:lumMod val="75000"/>
            </a:schemeClr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>
                <a:latin typeface="Arial Rounded MT Bold" panose="020F0704030504030204" pitchFamily="34" charset="0"/>
              </a:rPr>
              <a:t>TOTAL</a:t>
            </a:r>
            <a:r>
              <a:rPr lang="pt-BR" sz="1600" baseline="0">
                <a:latin typeface="Arial Rounded MT Bold" panose="020F0704030504030204" pitchFamily="34" charset="0"/>
              </a:rPr>
              <a:t> SUBSCRIPTION XBOX GAME PASS</a:t>
            </a:r>
            <a:endParaRPr lang="pt-BR" sz="1600">
              <a:latin typeface="Arial Rounded MT Bold" panose="020F0704030504030204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rge" refreshedDate="46061.833487847223" createdVersion="7" refreshedVersion="7" minRefreshableVersion="3" recordCount="295" xr:uid="{8668218F-1093-455B-859B-FFF48AAEAF2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60511525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x v="0"/>
    <x v="0"/>
    <s v="Yes"/>
    <n v="20"/>
    <n v="5"/>
    <n v="60"/>
  </r>
  <r>
    <x v="1"/>
    <s v="Maria Oliveira"/>
    <x v="1"/>
    <d v="2024-01-15T00:00:00"/>
    <x v="1"/>
    <n v="5"/>
    <x v="1"/>
    <x v="1"/>
    <x v="1"/>
    <s v="No"/>
    <n v="0"/>
    <n v="0"/>
    <n v="5"/>
  </r>
  <r>
    <x v="2"/>
    <s v="Lucas Fernandes"/>
    <x v="2"/>
    <d v="2024-02-10T00:00:00"/>
    <x v="0"/>
    <n v="10"/>
    <x v="2"/>
    <x v="1"/>
    <x v="1"/>
    <s v="Yes"/>
    <n v="20"/>
    <n v="10"/>
    <n v="20"/>
  </r>
  <r>
    <x v="3"/>
    <s v="Ana Souza"/>
    <x v="0"/>
    <d v="2024-02-20T00:00:00"/>
    <x v="1"/>
    <n v="15"/>
    <x v="0"/>
    <x v="0"/>
    <x v="0"/>
    <s v="Yes"/>
    <n v="20"/>
    <n v="3"/>
    <n v="62"/>
  </r>
  <r>
    <x v="4"/>
    <s v="Pedro Gonçalves"/>
    <x v="1"/>
    <d v="2024-03-05T00:00:00"/>
    <x v="0"/>
    <n v="5"/>
    <x v="0"/>
    <x v="1"/>
    <x v="1"/>
    <s v="No"/>
    <n v="0"/>
    <n v="1"/>
    <n v="4"/>
  </r>
  <r>
    <x v="5"/>
    <s v="Felipe Costa"/>
    <x v="2"/>
    <d v="2024-03-02T00:00:00"/>
    <x v="1"/>
    <n v="10"/>
    <x v="0"/>
    <x v="1"/>
    <x v="1"/>
    <s v="Yes"/>
    <n v="20"/>
    <n v="2"/>
    <n v="28"/>
  </r>
  <r>
    <x v="6"/>
    <s v="Camila Ribeiro"/>
    <x v="0"/>
    <d v="2024-03-03T00:00:00"/>
    <x v="0"/>
    <n v="15"/>
    <x v="2"/>
    <x v="0"/>
    <x v="0"/>
    <s v="Yes"/>
    <n v="20"/>
    <n v="10"/>
    <n v="55"/>
  </r>
  <r>
    <x v="7"/>
    <s v="André Mendes"/>
    <x v="1"/>
    <d v="2024-03-04T00:00:00"/>
    <x v="0"/>
    <n v="5"/>
    <x v="1"/>
    <x v="1"/>
    <x v="1"/>
    <s v="No"/>
    <n v="0"/>
    <n v="0"/>
    <n v="5"/>
  </r>
  <r>
    <x v="8"/>
    <s v="Sofia Almeida"/>
    <x v="0"/>
    <d v="2024-03-05T00:00:00"/>
    <x v="1"/>
    <n v="15"/>
    <x v="0"/>
    <x v="0"/>
    <x v="0"/>
    <s v="Yes"/>
    <n v="20"/>
    <n v="5"/>
    <n v="60"/>
  </r>
  <r>
    <x v="9"/>
    <s v="Bruno Martins"/>
    <x v="2"/>
    <d v="2024-03-06T00:00:00"/>
    <x v="0"/>
    <n v="10"/>
    <x v="2"/>
    <x v="1"/>
    <x v="1"/>
    <s v="Yes"/>
    <n v="20"/>
    <n v="15"/>
    <n v="15"/>
  </r>
  <r>
    <x v="10"/>
    <s v="Rita Castro"/>
    <x v="1"/>
    <d v="2024-03-07T00:00:00"/>
    <x v="1"/>
    <n v="5"/>
    <x v="0"/>
    <x v="1"/>
    <x v="1"/>
    <s v="No"/>
    <n v="0"/>
    <n v="1"/>
    <n v="4"/>
  </r>
  <r>
    <x v="11"/>
    <s v="Marco Túlio"/>
    <x v="0"/>
    <d v="2024-03-08T00:00:00"/>
    <x v="0"/>
    <n v="15"/>
    <x v="1"/>
    <x v="0"/>
    <x v="0"/>
    <s v="Yes"/>
    <n v="20"/>
    <n v="20"/>
    <n v="45"/>
  </r>
  <r>
    <x v="12"/>
    <s v="Lívia Silveira"/>
    <x v="2"/>
    <d v="2024-03-09T00:00:00"/>
    <x v="1"/>
    <n v="10"/>
    <x v="0"/>
    <x v="1"/>
    <x v="1"/>
    <s v="Yes"/>
    <n v="20"/>
    <n v="10"/>
    <n v="20"/>
  </r>
  <r>
    <x v="13"/>
    <s v="Diogo Sousa"/>
    <x v="1"/>
    <d v="2024-03-10T00:00:00"/>
    <x v="0"/>
    <n v="5"/>
    <x v="2"/>
    <x v="1"/>
    <x v="1"/>
    <s v="No"/>
    <n v="0"/>
    <n v="0"/>
    <n v="5"/>
  </r>
  <r>
    <x v="14"/>
    <s v="Fernanda Lima"/>
    <x v="0"/>
    <d v="2024-03-11T00:00:00"/>
    <x v="1"/>
    <n v="15"/>
    <x v="0"/>
    <x v="0"/>
    <x v="0"/>
    <s v="Yes"/>
    <n v="20"/>
    <n v="8"/>
    <n v="57"/>
  </r>
  <r>
    <x v="15"/>
    <s v="Caio Pereira"/>
    <x v="2"/>
    <d v="2024-03-12T00:00:00"/>
    <x v="0"/>
    <n v="10"/>
    <x v="1"/>
    <x v="1"/>
    <x v="1"/>
    <s v="Yes"/>
    <n v="20"/>
    <n v="12"/>
    <n v="18"/>
  </r>
  <r>
    <x v="16"/>
    <s v="Beatriz Gomes"/>
    <x v="1"/>
    <d v="2024-03-13T00:00:00"/>
    <x v="1"/>
    <n v="5"/>
    <x v="0"/>
    <x v="1"/>
    <x v="1"/>
    <s v="No"/>
    <n v="0"/>
    <n v="2"/>
    <n v="3"/>
  </r>
  <r>
    <x v="17"/>
    <s v="Cesar Oliveira"/>
    <x v="0"/>
    <d v="2024-03-14T00:00:00"/>
    <x v="0"/>
    <n v="15"/>
    <x v="2"/>
    <x v="0"/>
    <x v="0"/>
    <s v="Yes"/>
    <n v="20"/>
    <n v="7"/>
    <n v="58"/>
  </r>
  <r>
    <x v="18"/>
    <s v="Débora Machado"/>
    <x v="2"/>
    <d v="2024-03-15T00:00:00"/>
    <x v="1"/>
    <n v="10"/>
    <x v="0"/>
    <x v="1"/>
    <x v="1"/>
    <s v="Yes"/>
    <n v="20"/>
    <n v="5"/>
    <n v="25"/>
  </r>
  <r>
    <x v="19"/>
    <s v="Eduardo Vargas"/>
    <x v="1"/>
    <d v="2024-03-16T00:00:00"/>
    <x v="0"/>
    <n v="5"/>
    <x v="1"/>
    <x v="1"/>
    <x v="1"/>
    <s v="No"/>
    <n v="0"/>
    <n v="0"/>
    <n v="5"/>
  </r>
  <r>
    <x v="20"/>
    <s v="Gabriela Santos"/>
    <x v="0"/>
    <d v="2024-03-17T00:00:00"/>
    <x v="1"/>
    <n v="15"/>
    <x v="0"/>
    <x v="0"/>
    <x v="0"/>
    <s v="Yes"/>
    <n v="20"/>
    <n v="3"/>
    <n v="62"/>
  </r>
  <r>
    <x v="21"/>
    <s v="Henrique Dias"/>
    <x v="2"/>
    <d v="2024-03-18T00:00:00"/>
    <x v="0"/>
    <n v="10"/>
    <x v="2"/>
    <x v="1"/>
    <x v="1"/>
    <s v="Yes"/>
    <n v="20"/>
    <n v="15"/>
    <n v="15"/>
  </r>
  <r>
    <x v="22"/>
    <s v="Isabela Moreira"/>
    <x v="1"/>
    <d v="2024-03-19T00:00:00"/>
    <x v="1"/>
    <n v="5"/>
    <x v="0"/>
    <x v="1"/>
    <x v="1"/>
    <s v="No"/>
    <n v="0"/>
    <n v="1"/>
    <n v="4"/>
  </r>
  <r>
    <x v="23"/>
    <s v="Joaquim Barbosa"/>
    <x v="0"/>
    <d v="2024-03-20T00:00:00"/>
    <x v="0"/>
    <n v="15"/>
    <x v="1"/>
    <x v="0"/>
    <x v="0"/>
    <s v="Yes"/>
    <n v="20"/>
    <n v="20"/>
    <n v="45"/>
  </r>
  <r>
    <x v="24"/>
    <s v="Lara Rocha"/>
    <x v="2"/>
    <d v="2024-03-21T00:00:00"/>
    <x v="1"/>
    <n v="10"/>
    <x v="0"/>
    <x v="1"/>
    <x v="1"/>
    <s v="Yes"/>
    <n v="20"/>
    <n v="10"/>
    <n v="20"/>
  </r>
  <r>
    <x v="25"/>
    <s v="Matheus Silva"/>
    <x v="1"/>
    <d v="2024-03-22T00:00:00"/>
    <x v="0"/>
    <n v="5"/>
    <x v="2"/>
    <x v="1"/>
    <x v="1"/>
    <s v="No"/>
    <n v="0"/>
    <n v="0"/>
    <n v="5"/>
  </r>
  <r>
    <x v="26"/>
    <s v="Nicole Costa"/>
    <x v="0"/>
    <d v="2024-03-23T00:00:00"/>
    <x v="1"/>
    <n v="15"/>
    <x v="0"/>
    <x v="0"/>
    <x v="0"/>
    <s v="Yes"/>
    <n v="20"/>
    <n v="5"/>
    <n v="60"/>
  </r>
  <r>
    <x v="27"/>
    <s v="Otávio Mendonça"/>
    <x v="2"/>
    <d v="2024-03-24T00:00:00"/>
    <x v="0"/>
    <n v="10"/>
    <x v="1"/>
    <x v="1"/>
    <x v="1"/>
    <s v="Yes"/>
    <n v="20"/>
    <n v="15"/>
    <n v="15"/>
  </r>
  <r>
    <x v="28"/>
    <s v="Paula Ferreira"/>
    <x v="1"/>
    <d v="2024-03-25T00:00:00"/>
    <x v="1"/>
    <n v="5"/>
    <x v="0"/>
    <x v="1"/>
    <x v="1"/>
    <s v="No"/>
    <n v="0"/>
    <n v="1"/>
    <n v="4"/>
  </r>
  <r>
    <x v="29"/>
    <s v="Raquel Alves"/>
    <x v="0"/>
    <d v="2024-03-26T00:00:00"/>
    <x v="0"/>
    <n v="15"/>
    <x v="2"/>
    <x v="0"/>
    <x v="0"/>
    <s v="Yes"/>
    <n v="20"/>
    <n v="7"/>
    <n v="58"/>
  </r>
  <r>
    <x v="30"/>
    <s v="Samuel Pires"/>
    <x v="2"/>
    <d v="2024-03-27T00:00:00"/>
    <x v="1"/>
    <n v="10"/>
    <x v="0"/>
    <x v="1"/>
    <x v="1"/>
    <s v="Yes"/>
    <n v="20"/>
    <n v="10"/>
    <n v="20"/>
  </r>
  <r>
    <x v="31"/>
    <s v="Tânia Barros"/>
    <x v="1"/>
    <d v="2024-03-28T00:00:00"/>
    <x v="0"/>
    <n v="5"/>
    <x v="1"/>
    <x v="1"/>
    <x v="1"/>
    <s v="No"/>
    <n v="0"/>
    <n v="0"/>
    <n v="5"/>
  </r>
  <r>
    <x v="32"/>
    <s v="Vinicius Lima"/>
    <x v="0"/>
    <d v="2024-03-29T00:00:00"/>
    <x v="1"/>
    <n v="15"/>
    <x v="0"/>
    <x v="0"/>
    <x v="0"/>
    <s v="Yes"/>
    <n v="20"/>
    <n v="3"/>
    <n v="62"/>
  </r>
  <r>
    <x v="33"/>
    <s v="Yasmin Teixeira"/>
    <x v="2"/>
    <d v="2024-03-30T00:00:00"/>
    <x v="0"/>
    <n v="10"/>
    <x v="2"/>
    <x v="1"/>
    <x v="1"/>
    <s v="Yes"/>
    <n v="20"/>
    <n v="15"/>
    <n v="15"/>
  </r>
  <r>
    <x v="34"/>
    <s v="Zé Carlos"/>
    <x v="1"/>
    <d v="2024-03-31T00:00:00"/>
    <x v="1"/>
    <n v="5"/>
    <x v="0"/>
    <x v="1"/>
    <x v="1"/>
    <s v="No"/>
    <n v="0"/>
    <n v="1"/>
    <n v="4"/>
  </r>
  <r>
    <x v="35"/>
    <s v="Amanda Nogueira"/>
    <x v="1"/>
    <d v="2024-04-01T00:00:00"/>
    <x v="0"/>
    <n v="5"/>
    <x v="0"/>
    <x v="1"/>
    <x v="1"/>
    <s v="No"/>
    <n v="0"/>
    <n v="0"/>
    <n v="5"/>
  </r>
  <r>
    <x v="36"/>
    <s v="Bruno Cavalheiro"/>
    <x v="0"/>
    <d v="2024-04-02T00:00:00"/>
    <x v="1"/>
    <n v="15"/>
    <x v="2"/>
    <x v="0"/>
    <x v="0"/>
    <s v="Yes"/>
    <n v="20"/>
    <n v="7"/>
    <n v="58"/>
  </r>
  <r>
    <x v="37"/>
    <s v="Carla Dias"/>
    <x v="2"/>
    <d v="2024-04-03T00:00:00"/>
    <x v="0"/>
    <n v="10"/>
    <x v="1"/>
    <x v="1"/>
    <x v="1"/>
    <s v="Yes"/>
    <n v="20"/>
    <n v="10"/>
    <n v="20"/>
  </r>
  <r>
    <x v="38"/>
    <s v="Diego Fontes"/>
    <x v="1"/>
    <d v="2024-04-04T00:00:00"/>
    <x v="1"/>
    <n v="5"/>
    <x v="2"/>
    <x v="1"/>
    <x v="1"/>
    <s v="No"/>
    <n v="0"/>
    <n v="1"/>
    <n v="4"/>
  </r>
  <r>
    <x v="39"/>
    <s v="Eunice Lima"/>
    <x v="0"/>
    <d v="2024-04-05T00:00:00"/>
    <x v="0"/>
    <n v="15"/>
    <x v="0"/>
    <x v="0"/>
    <x v="0"/>
    <s v="Yes"/>
    <n v="20"/>
    <n v="15"/>
    <n v="50"/>
  </r>
  <r>
    <x v="40"/>
    <s v="Fábio Martins"/>
    <x v="2"/>
    <d v="2024-04-06T00:00:00"/>
    <x v="1"/>
    <n v="10"/>
    <x v="0"/>
    <x v="1"/>
    <x v="1"/>
    <s v="Yes"/>
    <n v="20"/>
    <n v="5"/>
    <n v="25"/>
  </r>
  <r>
    <x v="41"/>
    <s v="Gisele Araújo"/>
    <x v="1"/>
    <d v="2024-04-07T00:00:00"/>
    <x v="0"/>
    <n v="5"/>
    <x v="1"/>
    <x v="1"/>
    <x v="1"/>
    <s v="No"/>
    <n v="0"/>
    <n v="0"/>
    <n v="5"/>
  </r>
  <r>
    <x v="42"/>
    <s v="Hélio Castro"/>
    <x v="0"/>
    <d v="2024-04-08T00:00:00"/>
    <x v="1"/>
    <n v="15"/>
    <x v="2"/>
    <x v="0"/>
    <x v="0"/>
    <s v="Yes"/>
    <n v="20"/>
    <n v="20"/>
    <n v="45"/>
  </r>
  <r>
    <x v="43"/>
    <s v="Ingrid Menezes"/>
    <x v="2"/>
    <d v="2024-04-09T00:00:00"/>
    <x v="0"/>
    <n v="10"/>
    <x v="2"/>
    <x v="1"/>
    <x v="1"/>
    <s v="Yes"/>
    <n v="20"/>
    <n v="12"/>
    <n v="18"/>
  </r>
  <r>
    <x v="44"/>
    <s v="Jorge Baptista"/>
    <x v="1"/>
    <d v="2024-04-10T00:00:00"/>
    <x v="1"/>
    <n v="5"/>
    <x v="0"/>
    <x v="1"/>
    <x v="1"/>
    <s v="No"/>
    <n v="0"/>
    <n v="2"/>
    <n v="3"/>
  </r>
  <r>
    <x v="45"/>
    <s v="Kléber Oliveira"/>
    <x v="0"/>
    <d v="2024-04-11T00:00:00"/>
    <x v="0"/>
    <n v="15"/>
    <x v="1"/>
    <x v="0"/>
    <x v="0"/>
    <s v="Yes"/>
    <n v="20"/>
    <n v="5"/>
    <n v="60"/>
  </r>
  <r>
    <x v="46"/>
    <s v="Luciana Freitas"/>
    <x v="2"/>
    <d v="2024-04-12T00:00:00"/>
    <x v="1"/>
    <n v="10"/>
    <x v="0"/>
    <x v="1"/>
    <x v="1"/>
    <s v="Yes"/>
    <n v="20"/>
    <n v="10"/>
    <n v="20"/>
  </r>
  <r>
    <x v="47"/>
    <s v="Márcia Eller"/>
    <x v="1"/>
    <d v="2024-04-13T00:00:00"/>
    <x v="0"/>
    <n v="5"/>
    <x v="2"/>
    <x v="1"/>
    <x v="1"/>
    <s v="No"/>
    <n v="0"/>
    <n v="0"/>
    <n v="5"/>
  </r>
  <r>
    <x v="48"/>
    <s v="Nilo Peçanha"/>
    <x v="0"/>
    <d v="2024-04-14T00:00:00"/>
    <x v="1"/>
    <n v="15"/>
    <x v="0"/>
    <x v="0"/>
    <x v="0"/>
    <s v="Yes"/>
    <n v="20"/>
    <n v="3"/>
    <n v="62"/>
  </r>
  <r>
    <x v="49"/>
    <s v="Oscar Neves"/>
    <x v="2"/>
    <d v="2024-04-15T00:00:00"/>
    <x v="0"/>
    <n v="10"/>
    <x v="1"/>
    <x v="1"/>
    <x v="1"/>
    <s v="Yes"/>
    <n v="20"/>
    <n v="15"/>
    <n v="15"/>
  </r>
  <r>
    <x v="50"/>
    <s v="Patrícia Soares"/>
    <x v="1"/>
    <d v="2024-04-16T00:00:00"/>
    <x v="1"/>
    <n v="5"/>
    <x v="0"/>
    <x v="1"/>
    <x v="1"/>
    <s v="No"/>
    <n v="0"/>
    <n v="1"/>
    <n v="4"/>
  </r>
  <r>
    <x v="51"/>
    <s v="Quirino Gonçalves"/>
    <x v="0"/>
    <d v="2024-04-17T00:00:00"/>
    <x v="0"/>
    <n v="15"/>
    <x v="2"/>
    <x v="0"/>
    <x v="0"/>
    <s v="Yes"/>
    <n v="20"/>
    <n v="7"/>
    <n v="58"/>
  </r>
  <r>
    <x v="52"/>
    <s v="Raul Machado"/>
    <x v="2"/>
    <d v="2024-04-18T00:00:00"/>
    <x v="1"/>
    <n v="10"/>
    <x v="0"/>
    <x v="1"/>
    <x v="1"/>
    <s v="Yes"/>
    <n v="20"/>
    <n v="10"/>
    <n v="20"/>
  </r>
  <r>
    <x v="53"/>
    <s v="Sônia Lobo"/>
    <x v="1"/>
    <d v="2024-04-19T00:00:00"/>
    <x v="0"/>
    <n v="5"/>
    <x v="1"/>
    <x v="1"/>
    <x v="1"/>
    <s v="No"/>
    <n v="0"/>
    <n v="0"/>
    <n v="5"/>
  </r>
  <r>
    <x v="54"/>
    <s v="Tiago Ramos"/>
    <x v="0"/>
    <d v="2024-04-20T00:00:00"/>
    <x v="1"/>
    <n v="15"/>
    <x v="0"/>
    <x v="0"/>
    <x v="0"/>
    <s v="Yes"/>
    <n v="20"/>
    <n v="20"/>
    <n v="45"/>
  </r>
  <r>
    <x v="55"/>
    <s v="Ugo Pires"/>
    <x v="2"/>
    <d v="2024-04-21T00:00:00"/>
    <x v="0"/>
    <n v="10"/>
    <x v="2"/>
    <x v="1"/>
    <x v="1"/>
    <s v="Yes"/>
    <n v="20"/>
    <n v="15"/>
    <n v="15"/>
  </r>
  <r>
    <x v="56"/>
    <s v="Valéria Nobre"/>
    <x v="1"/>
    <d v="2024-04-22T00:00:00"/>
    <x v="1"/>
    <n v="5"/>
    <x v="0"/>
    <x v="1"/>
    <x v="1"/>
    <s v="No"/>
    <n v="0"/>
    <n v="1"/>
    <n v="4"/>
  </r>
  <r>
    <x v="57"/>
    <s v="William Siqueira"/>
    <x v="0"/>
    <d v="2024-04-23T00:00:00"/>
    <x v="0"/>
    <n v="15"/>
    <x v="1"/>
    <x v="0"/>
    <x v="0"/>
    <s v="Yes"/>
    <n v="20"/>
    <n v="3"/>
    <n v="62"/>
  </r>
  <r>
    <x v="58"/>
    <s v="Xuxa Meneghel"/>
    <x v="2"/>
    <d v="2024-04-24T00:00:00"/>
    <x v="1"/>
    <n v="10"/>
    <x v="0"/>
    <x v="1"/>
    <x v="1"/>
    <s v="Yes"/>
    <n v="20"/>
    <n v="10"/>
    <n v="20"/>
  </r>
  <r>
    <x v="59"/>
    <s v="Yara Figueiredo"/>
    <x v="1"/>
    <d v="2024-04-25T00:00:00"/>
    <x v="0"/>
    <n v="5"/>
    <x v="2"/>
    <x v="1"/>
    <x v="1"/>
    <s v="No"/>
    <n v="0"/>
    <n v="0"/>
    <n v="5"/>
  </r>
  <r>
    <x v="60"/>
    <s v="Zacarias Alves"/>
    <x v="0"/>
    <d v="2024-04-26T00:00:00"/>
    <x v="1"/>
    <n v="15"/>
    <x v="0"/>
    <x v="0"/>
    <x v="0"/>
    <s v="Yes"/>
    <n v="20"/>
    <n v="5"/>
    <n v="60"/>
  </r>
  <r>
    <x v="61"/>
    <s v="Amanda Bynes"/>
    <x v="2"/>
    <d v="2024-04-27T00:00:00"/>
    <x v="0"/>
    <n v="10"/>
    <x v="1"/>
    <x v="1"/>
    <x v="1"/>
    <s v="Yes"/>
    <n v="20"/>
    <n v="15"/>
    <n v="15"/>
  </r>
  <r>
    <x v="62"/>
    <s v="Bruno Mars"/>
    <x v="1"/>
    <d v="2024-04-28T00:00:00"/>
    <x v="1"/>
    <n v="5"/>
    <x v="0"/>
    <x v="1"/>
    <x v="1"/>
    <s v="No"/>
    <n v="0"/>
    <n v="1"/>
    <n v="4"/>
  </r>
  <r>
    <x v="63"/>
    <s v="Carla Bruni"/>
    <x v="0"/>
    <d v="2024-04-29T00:00:00"/>
    <x v="0"/>
    <n v="15"/>
    <x v="2"/>
    <x v="0"/>
    <x v="0"/>
    <s v="Yes"/>
    <n v="20"/>
    <n v="20"/>
    <n v="45"/>
  </r>
  <r>
    <x v="64"/>
    <s v="Diego Maradona"/>
    <x v="2"/>
    <d v="2024-04-30T00:00:00"/>
    <x v="1"/>
    <n v="10"/>
    <x v="0"/>
    <x v="1"/>
    <x v="1"/>
    <s v="Yes"/>
    <n v="20"/>
    <n v="5"/>
    <n v="25"/>
  </r>
  <r>
    <x v="65"/>
    <s v="Estela Marques"/>
    <x v="1"/>
    <d v="2024-05-01T00:00:00"/>
    <x v="1"/>
    <n v="5"/>
    <x v="0"/>
    <x v="1"/>
    <x v="1"/>
    <s v="No"/>
    <n v="0"/>
    <n v="0"/>
    <n v="5"/>
  </r>
  <r>
    <x v="66"/>
    <s v="Fábio Nobre"/>
    <x v="0"/>
    <d v="2024-05-02T00:00:00"/>
    <x v="0"/>
    <n v="15"/>
    <x v="2"/>
    <x v="0"/>
    <x v="0"/>
    <s v="Yes"/>
    <n v="20"/>
    <n v="7"/>
    <n v="58"/>
  </r>
  <r>
    <x v="67"/>
    <s v="Gabriel Oliveira"/>
    <x v="2"/>
    <d v="2024-05-03T00:00:00"/>
    <x v="1"/>
    <n v="10"/>
    <x v="1"/>
    <x v="1"/>
    <x v="1"/>
    <s v="Yes"/>
    <n v="20"/>
    <n v="10"/>
    <n v="20"/>
  </r>
  <r>
    <x v="68"/>
    <s v="Helena Santos"/>
    <x v="1"/>
    <d v="2024-05-04T00:00:00"/>
    <x v="0"/>
    <n v="5"/>
    <x v="2"/>
    <x v="1"/>
    <x v="1"/>
    <s v="No"/>
    <n v="0"/>
    <n v="1"/>
    <n v="4"/>
  </r>
  <r>
    <x v="69"/>
    <s v="Ivan Carvalho"/>
    <x v="0"/>
    <d v="2024-05-05T00:00:00"/>
    <x v="1"/>
    <n v="15"/>
    <x v="0"/>
    <x v="0"/>
    <x v="0"/>
    <s v="Yes"/>
    <n v="20"/>
    <n v="15"/>
    <n v="50"/>
  </r>
  <r>
    <x v="70"/>
    <s v="Júlia Ferreira"/>
    <x v="2"/>
    <d v="2024-05-06T00:00:00"/>
    <x v="0"/>
    <n v="10"/>
    <x v="0"/>
    <x v="1"/>
    <x v="1"/>
    <s v="Yes"/>
    <n v="20"/>
    <n v="5"/>
    <n v="25"/>
  </r>
  <r>
    <x v="71"/>
    <s v="Karla Alves"/>
    <x v="1"/>
    <d v="2024-05-07T00:00:00"/>
    <x v="1"/>
    <n v="5"/>
    <x v="1"/>
    <x v="1"/>
    <x v="1"/>
    <s v="No"/>
    <n v="0"/>
    <n v="0"/>
    <n v="5"/>
  </r>
  <r>
    <x v="72"/>
    <s v="Lucas Mendes"/>
    <x v="0"/>
    <d v="2024-05-08T00:00:00"/>
    <x v="0"/>
    <n v="15"/>
    <x v="2"/>
    <x v="0"/>
    <x v="0"/>
    <s v="Yes"/>
    <n v="20"/>
    <n v="20"/>
    <n v="45"/>
  </r>
  <r>
    <x v="73"/>
    <s v="Mônica Gomes"/>
    <x v="2"/>
    <d v="2024-05-09T00:00:00"/>
    <x v="1"/>
    <n v="10"/>
    <x v="2"/>
    <x v="1"/>
    <x v="1"/>
    <s v="Yes"/>
    <n v="20"/>
    <n v="12"/>
    <n v="18"/>
  </r>
  <r>
    <x v="74"/>
    <s v="Norberto Queiroz"/>
    <x v="1"/>
    <d v="2024-05-10T00:00:00"/>
    <x v="0"/>
    <n v="5"/>
    <x v="0"/>
    <x v="1"/>
    <x v="1"/>
    <s v="No"/>
    <n v="0"/>
    <n v="2"/>
    <n v="3"/>
  </r>
  <r>
    <x v="75"/>
    <s v="Otávio Barros"/>
    <x v="0"/>
    <d v="2024-05-11T00:00:00"/>
    <x v="1"/>
    <n v="15"/>
    <x v="1"/>
    <x v="0"/>
    <x v="0"/>
    <s v="Yes"/>
    <n v="20"/>
    <n v="5"/>
    <n v="60"/>
  </r>
  <r>
    <x v="76"/>
    <s v="Paula Vieira"/>
    <x v="2"/>
    <d v="2024-05-12T00:00:00"/>
    <x v="0"/>
    <n v="10"/>
    <x v="0"/>
    <x v="1"/>
    <x v="1"/>
    <s v="Yes"/>
    <n v="20"/>
    <n v="10"/>
    <n v="20"/>
  </r>
  <r>
    <x v="77"/>
    <s v="Quentin Ramos"/>
    <x v="1"/>
    <d v="2024-05-13T00:00:00"/>
    <x v="1"/>
    <n v="5"/>
    <x v="2"/>
    <x v="1"/>
    <x v="1"/>
    <s v="No"/>
    <n v="0"/>
    <n v="0"/>
    <n v="5"/>
  </r>
  <r>
    <x v="78"/>
    <s v="Raquel Novaes"/>
    <x v="0"/>
    <d v="2024-05-14T00:00:00"/>
    <x v="0"/>
    <n v="15"/>
    <x v="0"/>
    <x v="0"/>
    <x v="0"/>
    <s v="Yes"/>
    <n v="20"/>
    <n v="3"/>
    <n v="62"/>
  </r>
  <r>
    <x v="79"/>
    <s v="Samantha Lopes"/>
    <x v="2"/>
    <d v="2024-05-15T00:00:00"/>
    <x v="1"/>
    <n v="10"/>
    <x v="1"/>
    <x v="1"/>
    <x v="1"/>
    <s v="Yes"/>
    <n v="20"/>
    <n v="15"/>
    <n v="15"/>
  </r>
  <r>
    <x v="80"/>
    <s v="Tiago Martins"/>
    <x v="1"/>
    <d v="2024-05-16T00:00:00"/>
    <x v="0"/>
    <n v="5"/>
    <x v="0"/>
    <x v="1"/>
    <x v="1"/>
    <s v="No"/>
    <n v="0"/>
    <n v="1"/>
    <n v="4"/>
  </r>
  <r>
    <x v="81"/>
    <s v="Ulysses Guimarães"/>
    <x v="0"/>
    <d v="2024-05-17T00:00:00"/>
    <x v="1"/>
    <n v="15"/>
    <x v="2"/>
    <x v="0"/>
    <x v="0"/>
    <s v="Yes"/>
    <n v="20"/>
    <n v="7"/>
    <n v="58"/>
  </r>
  <r>
    <x v="82"/>
    <s v="Vanessa Silva"/>
    <x v="2"/>
    <d v="2024-05-18T00:00:00"/>
    <x v="0"/>
    <n v="10"/>
    <x v="0"/>
    <x v="1"/>
    <x v="1"/>
    <s v="Yes"/>
    <n v="20"/>
    <n v="10"/>
    <n v="20"/>
  </r>
  <r>
    <x v="83"/>
    <s v="William Carneiro"/>
    <x v="1"/>
    <d v="2024-05-19T00:00:00"/>
    <x v="1"/>
    <n v="5"/>
    <x v="1"/>
    <x v="1"/>
    <x v="1"/>
    <s v="No"/>
    <n v="0"/>
    <n v="0"/>
    <n v="5"/>
  </r>
  <r>
    <x v="84"/>
    <s v="Ximena Rocha"/>
    <x v="0"/>
    <d v="2024-05-20T00:00:00"/>
    <x v="0"/>
    <n v="15"/>
    <x v="0"/>
    <x v="0"/>
    <x v="0"/>
    <s v="Yes"/>
    <n v="20"/>
    <n v="20"/>
    <n v="45"/>
  </r>
  <r>
    <x v="85"/>
    <s v="Yasmin Figueiredo"/>
    <x v="2"/>
    <d v="2024-05-21T00:00:00"/>
    <x v="1"/>
    <n v="10"/>
    <x v="2"/>
    <x v="1"/>
    <x v="1"/>
    <s v="Yes"/>
    <n v="20"/>
    <n v="15"/>
    <n v="15"/>
  </r>
  <r>
    <x v="86"/>
    <s v="Zara Cunha"/>
    <x v="1"/>
    <d v="2024-05-22T00:00:00"/>
    <x v="0"/>
    <n v="5"/>
    <x v="0"/>
    <x v="1"/>
    <x v="1"/>
    <s v="No"/>
    <n v="0"/>
    <n v="1"/>
    <n v="4"/>
  </r>
  <r>
    <x v="87"/>
    <s v="Alan Teixeira"/>
    <x v="0"/>
    <d v="2024-05-23T00:00:00"/>
    <x v="1"/>
    <n v="15"/>
    <x v="1"/>
    <x v="0"/>
    <x v="0"/>
    <s v="Yes"/>
    <n v="20"/>
    <n v="3"/>
    <n v="62"/>
  </r>
  <r>
    <x v="88"/>
    <s v="Bárbara Oliveira"/>
    <x v="2"/>
    <d v="2024-05-24T00:00:00"/>
    <x v="0"/>
    <n v="10"/>
    <x v="0"/>
    <x v="1"/>
    <x v="1"/>
    <s v="Yes"/>
    <n v="20"/>
    <n v="10"/>
    <n v="20"/>
  </r>
  <r>
    <x v="89"/>
    <s v="Carlos Junqueira"/>
    <x v="1"/>
    <d v="2024-05-25T00:00:00"/>
    <x v="1"/>
    <n v="5"/>
    <x v="2"/>
    <x v="1"/>
    <x v="1"/>
    <s v="No"/>
    <n v="0"/>
    <n v="0"/>
    <n v="5"/>
  </r>
  <r>
    <x v="90"/>
    <s v="Daniela Moura"/>
    <x v="0"/>
    <d v="2024-05-26T00:00:00"/>
    <x v="0"/>
    <n v="15"/>
    <x v="0"/>
    <x v="0"/>
    <x v="0"/>
    <s v="Yes"/>
    <n v="20"/>
    <n v="5"/>
    <n v="60"/>
  </r>
  <r>
    <x v="91"/>
    <s v="Eduardo Lima"/>
    <x v="2"/>
    <d v="2024-05-27T00:00:00"/>
    <x v="1"/>
    <n v="10"/>
    <x v="1"/>
    <x v="1"/>
    <x v="1"/>
    <s v="Yes"/>
    <n v="20"/>
    <n v="15"/>
    <n v="15"/>
  </r>
  <r>
    <x v="92"/>
    <s v="Fabiana Araújo"/>
    <x v="1"/>
    <d v="2024-05-28T00:00:00"/>
    <x v="0"/>
    <n v="5"/>
    <x v="0"/>
    <x v="1"/>
    <x v="1"/>
    <s v="No"/>
    <n v="0"/>
    <n v="1"/>
    <n v="4"/>
  </r>
  <r>
    <x v="93"/>
    <s v="Geraldo Ribeiro"/>
    <x v="0"/>
    <d v="2024-05-29T00:00:00"/>
    <x v="1"/>
    <n v="15"/>
    <x v="2"/>
    <x v="0"/>
    <x v="0"/>
    <s v="Yes"/>
    <n v="20"/>
    <n v="20"/>
    <n v="45"/>
  </r>
  <r>
    <x v="94"/>
    <s v="Héctor Vargas"/>
    <x v="2"/>
    <d v="2024-05-30T00:00:00"/>
    <x v="0"/>
    <n v="10"/>
    <x v="2"/>
    <x v="1"/>
    <x v="1"/>
    <s v="Yes"/>
    <n v="20"/>
    <n v="15"/>
    <n v="15"/>
  </r>
  <r>
    <x v="95"/>
    <s v="Isabela Fonseca"/>
    <x v="1"/>
    <d v="2024-05-31T00:00:00"/>
    <x v="1"/>
    <n v="5"/>
    <x v="1"/>
    <x v="1"/>
    <x v="1"/>
    <s v="No"/>
    <n v="0"/>
    <n v="0"/>
    <n v="5"/>
  </r>
  <r>
    <x v="96"/>
    <s v="João Pedro Almeida"/>
    <x v="0"/>
    <d v="2024-06-01T00:00:00"/>
    <x v="0"/>
    <n v="15"/>
    <x v="0"/>
    <x v="0"/>
    <x v="0"/>
    <s v="Yes"/>
    <n v="20"/>
    <n v="7"/>
    <n v="58"/>
  </r>
  <r>
    <x v="97"/>
    <s v="Klara Costa"/>
    <x v="2"/>
    <d v="2024-06-02T00:00:00"/>
    <x v="1"/>
    <n v="10"/>
    <x v="1"/>
    <x v="1"/>
    <x v="1"/>
    <s v="Yes"/>
    <n v="20"/>
    <n v="10"/>
    <n v="20"/>
  </r>
  <r>
    <x v="98"/>
    <s v="Luciana Mendes"/>
    <x v="1"/>
    <d v="2024-06-03T00:00:00"/>
    <x v="0"/>
    <n v="5"/>
    <x v="2"/>
    <x v="1"/>
    <x v="1"/>
    <s v="No"/>
    <n v="0"/>
    <n v="1"/>
    <n v="4"/>
  </r>
  <r>
    <x v="99"/>
    <s v="Marcelo Gouveia"/>
    <x v="0"/>
    <d v="2024-06-04T00:00:00"/>
    <x v="1"/>
    <n v="15"/>
    <x v="0"/>
    <x v="0"/>
    <x v="0"/>
    <s v="Yes"/>
    <n v="20"/>
    <n v="15"/>
    <n v="50"/>
  </r>
  <r>
    <x v="100"/>
    <s v="Nívea Borges"/>
    <x v="2"/>
    <d v="2024-06-05T00:00:00"/>
    <x v="0"/>
    <n v="10"/>
    <x v="0"/>
    <x v="1"/>
    <x v="1"/>
    <s v="Yes"/>
    <n v="20"/>
    <n v="5"/>
    <n v="25"/>
  </r>
  <r>
    <x v="101"/>
    <s v="Oscar Nogueira"/>
    <x v="1"/>
    <d v="2024-06-06T00:00:00"/>
    <x v="1"/>
    <n v="5"/>
    <x v="1"/>
    <x v="1"/>
    <x v="1"/>
    <s v="No"/>
    <n v="0"/>
    <n v="0"/>
    <n v="5"/>
  </r>
  <r>
    <x v="102"/>
    <s v="Patrícia Alves"/>
    <x v="0"/>
    <d v="2024-06-07T00:00:00"/>
    <x v="0"/>
    <n v="15"/>
    <x v="2"/>
    <x v="0"/>
    <x v="0"/>
    <s v="Yes"/>
    <n v="20"/>
    <n v="20"/>
    <n v="45"/>
  </r>
  <r>
    <x v="103"/>
    <s v="Rafaela Silva"/>
    <x v="2"/>
    <d v="2024-06-08T00:00:00"/>
    <x v="1"/>
    <n v="10"/>
    <x v="2"/>
    <x v="1"/>
    <x v="1"/>
    <s v="Yes"/>
    <n v="20"/>
    <n v="12"/>
    <n v="18"/>
  </r>
  <r>
    <x v="104"/>
    <s v="Samantha Moraes"/>
    <x v="1"/>
    <d v="2024-06-09T00:00:00"/>
    <x v="0"/>
    <n v="5"/>
    <x v="0"/>
    <x v="1"/>
    <x v="1"/>
    <s v="No"/>
    <n v="0"/>
    <n v="2"/>
    <n v="3"/>
  </r>
  <r>
    <x v="105"/>
    <s v="Tatiana Rocha"/>
    <x v="1"/>
    <d v="2024-06-10T00:00:00"/>
    <x v="0"/>
    <n v="5"/>
    <x v="0"/>
    <x v="1"/>
    <x v="1"/>
    <s v="No"/>
    <n v="0"/>
    <n v="0"/>
    <n v="5"/>
  </r>
  <r>
    <x v="106"/>
    <s v="Ulisses Tavares"/>
    <x v="0"/>
    <d v="2024-06-11T00:00:00"/>
    <x v="1"/>
    <n v="15"/>
    <x v="2"/>
    <x v="0"/>
    <x v="0"/>
    <s v="Yes"/>
    <n v="20"/>
    <n v="7"/>
    <n v="58"/>
  </r>
  <r>
    <x v="107"/>
    <s v="Víctor Lemos"/>
    <x v="2"/>
    <d v="2024-06-12T00:00:00"/>
    <x v="0"/>
    <n v="10"/>
    <x v="1"/>
    <x v="1"/>
    <x v="1"/>
    <s v="Yes"/>
    <n v="20"/>
    <n v="10"/>
    <n v="20"/>
  </r>
  <r>
    <x v="108"/>
    <s v="Wilma Barros"/>
    <x v="1"/>
    <d v="2024-06-13T00:00:00"/>
    <x v="1"/>
    <n v="5"/>
    <x v="2"/>
    <x v="1"/>
    <x v="1"/>
    <s v="No"/>
    <n v="0"/>
    <n v="1"/>
    <n v="4"/>
  </r>
  <r>
    <x v="109"/>
    <s v="Xavier Nascimento"/>
    <x v="0"/>
    <d v="2024-06-14T00:00:00"/>
    <x v="0"/>
    <n v="15"/>
    <x v="0"/>
    <x v="0"/>
    <x v="0"/>
    <s v="Yes"/>
    <n v="20"/>
    <n v="15"/>
    <n v="50"/>
  </r>
  <r>
    <x v="110"/>
    <s v="Yago Pereira"/>
    <x v="2"/>
    <d v="2024-06-15T00:00:00"/>
    <x v="1"/>
    <n v="10"/>
    <x v="0"/>
    <x v="1"/>
    <x v="1"/>
    <s v="Yes"/>
    <n v="20"/>
    <n v="5"/>
    <n v="25"/>
  </r>
  <r>
    <x v="111"/>
    <s v="Zilda Ferreira"/>
    <x v="1"/>
    <d v="2024-06-16T00:00:00"/>
    <x v="0"/>
    <n v="5"/>
    <x v="1"/>
    <x v="1"/>
    <x v="1"/>
    <s v="No"/>
    <n v="0"/>
    <n v="0"/>
    <n v="5"/>
  </r>
  <r>
    <x v="112"/>
    <s v="Amanda Lopes"/>
    <x v="0"/>
    <d v="2024-06-17T00:00:00"/>
    <x v="1"/>
    <n v="15"/>
    <x v="2"/>
    <x v="0"/>
    <x v="0"/>
    <s v="Yes"/>
    <n v="20"/>
    <n v="20"/>
    <n v="45"/>
  </r>
  <r>
    <x v="113"/>
    <s v="Bruno Miranda"/>
    <x v="2"/>
    <d v="2024-06-18T00:00:00"/>
    <x v="0"/>
    <n v="10"/>
    <x v="2"/>
    <x v="1"/>
    <x v="1"/>
    <s v="Yes"/>
    <n v="20"/>
    <n v="12"/>
    <n v="18"/>
  </r>
  <r>
    <x v="114"/>
    <s v="Célia Torres"/>
    <x v="1"/>
    <d v="2024-06-19T00:00:00"/>
    <x v="1"/>
    <n v="5"/>
    <x v="0"/>
    <x v="1"/>
    <x v="1"/>
    <s v="No"/>
    <n v="0"/>
    <n v="2"/>
    <n v="3"/>
  </r>
  <r>
    <x v="115"/>
    <s v="Diogo Souza"/>
    <x v="0"/>
    <d v="2024-06-20T00:00:00"/>
    <x v="0"/>
    <n v="15"/>
    <x v="1"/>
    <x v="0"/>
    <x v="0"/>
    <s v="Yes"/>
    <n v="20"/>
    <n v="5"/>
    <n v="60"/>
  </r>
  <r>
    <x v="116"/>
    <s v="Elisa Castro"/>
    <x v="2"/>
    <d v="2024-06-21T00:00:00"/>
    <x v="1"/>
    <n v="10"/>
    <x v="0"/>
    <x v="1"/>
    <x v="1"/>
    <s v="Yes"/>
    <n v="20"/>
    <n v="10"/>
    <n v="20"/>
  </r>
  <r>
    <x v="117"/>
    <s v="Fátima Lima"/>
    <x v="1"/>
    <d v="2024-06-22T00:00:00"/>
    <x v="0"/>
    <n v="5"/>
    <x v="2"/>
    <x v="1"/>
    <x v="1"/>
    <s v="No"/>
    <n v="0"/>
    <n v="0"/>
    <n v="5"/>
  </r>
  <r>
    <x v="118"/>
    <s v="Geraldo Ribeiro"/>
    <x v="0"/>
    <d v="2024-06-23T00:00:00"/>
    <x v="1"/>
    <n v="15"/>
    <x v="0"/>
    <x v="0"/>
    <x v="0"/>
    <s v="Yes"/>
    <n v="20"/>
    <n v="3"/>
    <n v="62"/>
  </r>
  <r>
    <x v="119"/>
    <s v="Hélio Martins"/>
    <x v="2"/>
    <d v="2024-06-24T00:00:00"/>
    <x v="0"/>
    <n v="10"/>
    <x v="1"/>
    <x v="1"/>
    <x v="1"/>
    <s v="Yes"/>
    <n v="20"/>
    <n v="15"/>
    <n v="15"/>
  </r>
  <r>
    <x v="120"/>
    <s v="Íris Santos"/>
    <x v="1"/>
    <d v="2024-06-25T00:00:00"/>
    <x v="1"/>
    <n v="5"/>
    <x v="0"/>
    <x v="1"/>
    <x v="1"/>
    <s v="No"/>
    <n v="0"/>
    <n v="1"/>
    <n v="4"/>
  </r>
  <r>
    <x v="121"/>
    <s v="João Marcelo"/>
    <x v="0"/>
    <d v="2024-06-26T00:00:00"/>
    <x v="0"/>
    <n v="15"/>
    <x v="2"/>
    <x v="0"/>
    <x v="0"/>
    <s v="Yes"/>
    <n v="20"/>
    <n v="7"/>
    <n v="58"/>
  </r>
  <r>
    <x v="122"/>
    <s v="Larissa Gomes"/>
    <x v="2"/>
    <d v="2024-06-27T00:00:00"/>
    <x v="1"/>
    <n v="10"/>
    <x v="0"/>
    <x v="1"/>
    <x v="1"/>
    <s v="Yes"/>
    <n v="20"/>
    <n v="10"/>
    <n v="20"/>
  </r>
  <r>
    <x v="123"/>
    <s v="Márcio Silva"/>
    <x v="1"/>
    <d v="2024-06-28T00:00:00"/>
    <x v="0"/>
    <n v="5"/>
    <x v="1"/>
    <x v="1"/>
    <x v="1"/>
    <s v="No"/>
    <n v="0"/>
    <n v="0"/>
    <n v="5"/>
  </r>
  <r>
    <x v="124"/>
    <s v="Nadia Costa"/>
    <x v="0"/>
    <d v="2024-06-29T00:00:00"/>
    <x v="1"/>
    <n v="15"/>
    <x v="0"/>
    <x v="0"/>
    <x v="0"/>
    <s v="Yes"/>
    <n v="20"/>
    <n v="20"/>
    <n v="45"/>
  </r>
  <r>
    <x v="125"/>
    <s v="Oscar Almeida"/>
    <x v="2"/>
    <d v="2024-06-30T00:00:00"/>
    <x v="0"/>
    <n v="10"/>
    <x v="2"/>
    <x v="1"/>
    <x v="1"/>
    <s v="Yes"/>
    <n v="20"/>
    <n v="15"/>
    <n v="15"/>
  </r>
  <r>
    <x v="126"/>
    <s v="Patricia Soares"/>
    <x v="1"/>
    <d v="2024-07-01T00:00:00"/>
    <x v="1"/>
    <n v="5"/>
    <x v="0"/>
    <x v="1"/>
    <x v="1"/>
    <s v="No"/>
    <n v="0"/>
    <n v="1"/>
    <n v="4"/>
  </r>
  <r>
    <x v="127"/>
    <s v="Quênia Barros"/>
    <x v="0"/>
    <d v="2024-07-02T00:00:00"/>
    <x v="0"/>
    <n v="15"/>
    <x v="1"/>
    <x v="0"/>
    <x v="0"/>
    <s v="Yes"/>
    <n v="20"/>
    <n v="3"/>
    <n v="62"/>
  </r>
  <r>
    <x v="128"/>
    <s v="Rafael Torres"/>
    <x v="2"/>
    <d v="2024-07-03T00:00:00"/>
    <x v="1"/>
    <n v="10"/>
    <x v="0"/>
    <x v="1"/>
    <x v="1"/>
    <s v="Yes"/>
    <n v="20"/>
    <n v="10"/>
    <n v="20"/>
  </r>
  <r>
    <x v="129"/>
    <s v="Silvia Nascimento"/>
    <x v="1"/>
    <d v="2024-07-04T00:00:00"/>
    <x v="0"/>
    <n v="5"/>
    <x v="2"/>
    <x v="1"/>
    <x v="1"/>
    <s v="No"/>
    <n v="0"/>
    <n v="0"/>
    <n v="5"/>
  </r>
  <r>
    <x v="130"/>
    <s v="Tiago Mendes"/>
    <x v="0"/>
    <d v="2024-07-05T00:00:00"/>
    <x v="1"/>
    <n v="15"/>
    <x v="0"/>
    <x v="0"/>
    <x v="0"/>
    <s v="Yes"/>
    <n v="20"/>
    <n v="15"/>
    <n v="50"/>
  </r>
  <r>
    <x v="131"/>
    <s v="Ursula Silva"/>
    <x v="2"/>
    <d v="2024-07-06T00:00:00"/>
    <x v="0"/>
    <n v="10"/>
    <x v="1"/>
    <x v="1"/>
    <x v="1"/>
    <s v="Yes"/>
    <n v="20"/>
    <n v="15"/>
    <n v="15"/>
  </r>
  <r>
    <x v="132"/>
    <s v="Vanessa Moraes"/>
    <x v="1"/>
    <d v="2024-07-07T00:00:00"/>
    <x v="1"/>
    <n v="5"/>
    <x v="0"/>
    <x v="1"/>
    <x v="1"/>
    <s v="No"/>
    <n v="0"/>
    <n v="1"/>
    <n v="4"/>
  </r>
  <r>
    <x v="133"/>
    <s v="Waldir Junior"/>
    <x v="0"/>
    <d v="2024-07-08T00:00:00"/>
    <x v="0"/>
    <n v="15"/>
    <x v="2"/>
    <x v="0"/>
    <x v="0"/>
    <s v="Yes"/>
    <n v="20"/>
    <n v="7"/>
    <n v="58"/>
  </r>
  <r>
    <x v="134"/>
    <s v="Xavier Lopes"/>
    <x v="2"/>
    <d v="2024-07-09T00:00:00"/>
    <x v="1"/>
    <n v="10"/>
    <x v="0"/>
    <x v="1"/>
    <x v="1"/>
    <s v="Yes"/>
    <n v="20"/>
    <n v="10"/>
    <n v="20"/>
  </r>
  <r>
    <x v="135"/>
    <s v="Yolanda Freitas"/>
    <x v="1"/>
    <d v="2024-07-10T00:00:00"/>
    <x v="0"/>
    <n v="5"/>
    <x v="0"/>
    <x v="1"/>
    <x v="1"/>
    <s v="No"/>
    <n v="0"/>
    <n v="0"/>
    <n v="5"/>
  </r>
  <r>
    <x v="136"/>
    <s v="Zacarias Nunes"/>
    <x v="0"/>
    <d v="2024-07-11T00:00:00"/>
    <x v="1"/>
    <n v="15"/>
    <x v="2"/>
    <x v="0"/>
    <x v="0"/>
    <s v="Yes"/>
    <n v="20"/>
    <n v="7"/>
    <n v="58"/>
  </r>
  <r>
    <x v="137"/>
    <s v="Ana Clara Barreto"/>
    <x v="2"/>
    <d v="2024-07-12T00:00:00"/>
    <x v="0"/>
    <n v="10"/>
    <x v="1"/>
    <x v="1"/>
    <x v="1"/>
    <s v="Yes"/>
    <n v="20"/>
    <n v="10"/>
    <n v="20"/>
  </r>
  <r>
    <x v="138"/>
    <s v="Bruno Henrique"/>
    <x v="1"/>
    <d v="2024-07-13T00:00:00"/>
    <x v="1"/>
    <n v="5"/>
    <x v="2"/>
    <x v="1"/>
    <x v="1"/>
    <s v="No"/>
    <n v="0"/>
    <n v="1"/>
    <n v="4"/>
  </r>
  <r>
    <x v="139"/>
    <s v="Carlos Eduardo"/>
    <x v="0"/>
    <d v="2024-07-14T00:00:00"/>
    <x v="0"/>
    <n v="15"/>
    <x v="0"/>
    <x v="0"/>
    <x v="0"/>
    <s v="Yes"/>
    <n v="20"/>
    <n v="15"/>
    <n v="50"/>
  </r>
  <r>
    <x v="140"/>
    <s v="Débora Lima"/>
    <x v="2"/>
    <d v="2024-07-15T00:00:00"/>
    <x v="1"/>
    <n v="10"/>
    <x v="0"/>
    <x v="1"/>
    <x v="1"/>
    <s v="Yes"/>
    <n v="20"/>
    <n v="5"/>
    <n v="25"/>
  </r>
  <r>
    <x v="141"/>
    <s v="Elisa Neves"/>
    <x v="1"/>
    <d v="2024-07-16T00:00:00"/>
    <x v="0"/>
    <n v="5"/>
    <x v="1"/>
    <x v="1"/>
    <x v="1"/>
    <s v="No"/>
    <n v="0"/>
    <n v="0"/>
    <n v="5"/>
  </r>
  <r>
    <x v="142"/>
    <s v="Fabiano Gomes"/>
    <x v="0"/>
    <d v="2024-07-17T00:00:00"/>
    <x v="1"/>
    <n v="15"/>
    <x v="2"/>
    <x v="0"/>
    <x v="0"/>
    <s v="Yes"/>
    <n v="20"/>
    <n v="20"/>
    <n v="45"/>
  </r>
  <r>
    <x v="143"/>
    <s v="Gisele Oliveira"/>
    <x v="2"/>
    <d v="2024-07-18T00:00:00"/>
    <x v="0"/>
    <n v="10"/>
    <x v="2"/>
    <x v="1"/>
    <x v="1"/>
    <s v="Yes"/>
    <n v="20"/>
    <n v="12"/>
    <n v="18"/>
  </r>
  <r>
    <x v="144"/>
    <s v="Héctor Silva"/>
    <x v="1"/>
    <d v="2024-07-19T00:00:00"/>
    <x v="1"/>
    <n v="5"/>
    <x v="0"/>
    <x v="1"/>
    <x v="1"/>
    <s v="No"/>
    <n v="0"/>
    <n v="2"/>
    <n v="3"/>
  </r>
  <r>
    <x v="145"/>
    <s v="Igor Martins"/>
    <x v="0"/>
    <d v="2024-07-20T00:00:00"/>
    <x v="0"/>
    <n v="15"/>
    <x v="1"/>
    <x v="0"/>
    <x v="0"/>
    <s v="Yes"/>
    <n v="20"/>
    <n v="5"/>
    <n v="60"/>
  </r>
  <r>
    <x v="146"/>
    <s v="Joana Figueiredo"/>
    <x v="2"/>
    <d v="2024-07-21T00:00:00"/>
    <x v="1"/>
    <n v="10"/>
    <x v="0"/>
    <x v="1"/>
    <x v="1"/>
    <s v="Yes"/>
    <n v="20"/>
    <n v="10"/>
    <n v="20"/>
  </r>
  <r>
    <x v="147"/>
    <s v="Kleber Machado"/>
    <x v="1"/>
    <d v="2024-07-22T00:00:00"/>
    <x v="0"/>
    <n v="5"/>
    <x v="2"/>
    <x v="1"/>
    <x v="1"/>
    <s v="No"/>
    <n v="0"/>
    <n v="0"/>
    <n v="5"/>
  </r>
  <r>
    <x v="148"/>
    <s v="Luciana Santos"/>
    <x v="0"/>
    <d v="2024-07-23T00:00:00"/>
    <x v="1"/>
    <n v="15"/>
    <x v="0"/>
    <x v="0"/>
    <x v="0"/>
    <s v="Yes"/>
    <n v="20"/>
    <n v="3"/>
    <n v="62"/>
  </r>
  <r>
    <x v="149"/>
    <s v="Marcos Teixeira"/>
    <x v="2"/>
    <d v="2024-07-24T00:00:00"/>
    <x v="0"/>
    <n v="10"/>
    <x v="1"/>
    <x v="1"/>
    <x v="1"/>
    <s v="Yes"/>
    <n v="20"/>
    <n v="15"/>
    <n v="15"/>
  </r>
  <r>
    <x v="150"/>
    <s v="Natalia Costa"/>
    <x v="1"/>
    <d v="2024-07-25T00:00:00"/>
    <x v="1"/>
    <n v="5"/>
    <x v="0"/>
    <x v="1"/>
    <x v="1"/>
    <s v="No"/>
    <n v="0"/>
    <n v="1"/>
    <n v="4"/>
  </r>
  <r>
    <x v="151"/>
    <s v="Oscar Ribeiro"/>
    <x v="0"/>
    <d v="2024-07-26T00:00:00"/>
    <x v="0"/>
    <n v="15"/>
    <x v="2"/>
    <x v="0"/>
    <x v="0"/>
    <s v="Yes"/>
    <n v="20"/>
    <n v="7"/>
    <n v="58"/>
  </r>
  <r>
    <x v="152"/>
    <s v="Patricia Almeida"/>
    <x v="2"/>
    <d v="2024-07-27T00:00:00"/>
    <x v="1"/>
    <n v="10"/>
    <x v="0"/>
    <x v="1"/>
    <x v="1"/>
    <s v="Yes"/>
    <n v="20"/>
    <n v="10"/>
    <n v="20"/>
  </r>
  <r>
    <x v="153"/>
    <s v="Quirino Junior"/>
    <x v="1"/>
    <d v="2024-07-28T00:00:00"/>
    <x v="0"/>
    <n v="5"/>
    <x v="1"/>
    <x v="1"/>
    <x v="1"/>
    <s v="No"/>
    <n v="0"/>
    <n v="0"/>
    <n v="5"/>
  </r>
  <r>
    <x v="154"/>
    <s v="Renata Machado"/>
    <x v="0"/>
    <d v="2024-07-29T00:00:00"/>
    <x v="1"/>
    <n v="15"/>
    <x v="0"/>
    <x v="0"/>
    <x v="0"/>
    <s v="Yes"/>
    <n v="20"/>
    <n v="20"/>
    <n v="45"/>
  </r>
  <r>
    <x v="155"/>
    <s v="Sônia Alves"/>
    <x v="2"/>
    <d v="2024-07-30T00:00:00"/>
    <x v="0"/>
    <n v="10"/>
    <x v="2"/>
    <x v="1"/>
    <x v="1"/>
    <s v="Yes"/>
    <n v="20"/>
    <n v="15"/>
    <n v="15"/>
  </r>
  <r>
    <x v="156"/>
    <s v="Tiago Nunes"/>
    <x v="1"/>
    <d v="2024-07-31T00:00:00"/>
    <x v="1"/>
    <n v="5"/>
    <x v="0"/>
    <x v="1"/>
    <x v="1"/>
    <s v="No"/>
    <n v="0"/>
    <n v="1"/>
    <n v="4"/>
  </r>
  <r>
    <x v="157"/>
    <s v="Ulysses Pereira"/>
    <x v="0"/>
    <d v="2024-08-01T00:00:00"/>
    <x v="0"/>
    <n v="15"/>
    <x v="1"/>
    <x v="0"/>
    <x v="0"/>
    <s v="Yes"/>
    <n v="20"/>
    <n v="3"/>
    <n v="62"/>
  </r>
  <r>
    <x v="158"/>
    <s v="Vanessa Lima"/>
    <x v="2"/>
    <d v="2024-08-02T00:00:00"/>
    <x v="1"/>
    <n v="10"/>
    <x v="0"/>
    <x v="1"/>
    <x v="1"/>
    <s v="Yes"/>
    <n v="20"/>
    <n v="10"/>
    <n v="20"/>
  </r>
  <r>
    <x v="159"/>
    <s v="Wagner Santos"/>
    <x v="1"/>
    <d v="2024-08-03T00:00:00"/>
    <x v="0"/>
    <n v="5"/>
    <x v="2"/>
    <x v="1"/>
    <x v="1"/>
    <s v="No"/>
    <n v="0"/>
    <n v="0"/>
    <n v="5"/>
  </r>
  <r>
    <x v="160"/>
    <s v="Xuxa Meneghel"/>
    <x v="0"/>
    <d v="2024-08-04T00:00:00"/>
    <x v="1"/>
    <n v="15"/>
    <x v="0"/>
    <x v="0"/>
    <x v="0"/>
    <s v="Yes"/>
    <n v="20"/>
    <n v="15"/>
    <n v="50"/>
  </r>
  <r>
    <x v="161"/>
    <s v="Yasmin Silva"/>
    <x v="2"/>
    <d v="2024-08-05T00:00:00"/>
    <x v="0"/>
    <n v="10"/>
    <x v="1"/>
    <x v="1"/>
    <x v="1"/>
    <s v="Yes"/>
    <n v="20"/>
    <n v="15"/>
    <n v="15"/>
  </r>
  <r>
    <x v="162"/>
    <s v="Zacarias de Souza"/>
    <x v="1"/>
    <d v="2024-08-06T00:00:00"/>
    <x v="1"/>
    <n v="5"/>
    <x v="0"/>
    <x v="1"/>
    <x v="1"/>
    <s v="No"/>
    <n v="0"/>
    <n v="1"/>
    <n v="4"/>
  </r>
  <r>
    <x v="163"/>
    <s v="André Lima"/>
    <x v="0"/>
    <d v="2024-08-07T00:00:00"/>
    <x v="0"/>
    <n v="15"/>
    <x v="2"/>
    <x v="0"/>
    <x v="0"/>
    <s v="Yes"/>
    <n v="20"/>
    <n v="7"/>
    <n v="58"/>
  </r>
  <r>
    <x v="164"/>
    <s v="Bianca Freitas"/>
    <x v="2"/>
    <d v="2024-08-08T00:00:00"/>
    <x v="1"/>
    <n v="10"/>
    <x v="0"/>
    <x v="1"/>
    <x v="1"/>
    <s v="Yes"/>
    <n v="20"/>
    <n v="10"/>
    <n v="20"/>
  </r>
  <r>
    <x v="165"/>
    <s v="Caio Mendes"/>
    <x v="1"/>
    <d v="2024-08-09T00:00:00"/>
    <x v="0"/>
    <n v="5"/>
    <x v="1"/>
    <x v="1"/>
    <x v="1"/>
    <s v="No"/>
    <n v="0"/>
    <n v="0"/>
    <n v="5"/>
  </r>
  <r>
    <x v="166"/>
    <s v="Daniela Moura"/>
    <x v="0"/>
    <d v="2024-08-10T00:00:00"/>
    <x v="1"/>
    <n v="15"/>
    <x v="0"/>
    <x v="0"/>
    <x v="0"/>
    <s v="Yes"/>
    <n v="20"/>
    <n v="20"/>
    <n v="45"/>
  </r>
  <r>
    <x v="167"/>
    <s v="Eduardo Costa"/>
    <x v="2"/>
    <d v="2024-08-11T00:00:00"/>
    <x v="0"/>
    <n v="10"/>
    <x v="2"/>
    <x v="1"/>
    <x v="1"/>
    <s v="Yes"/>
    <n v="20"/>
    <n v="15"/>
    <n v="15"/>
  </r>
  <r>
    <x v="168"/>
    <s v="Fernanda Gomes"/>
    <x v="1"/>
    <d v="2024-08-12T00:00:00"/>
    <x v="1"/>
    <n v="5"/>
    <x v="0"/>
    <x v="1"/>
    <x v="1"/>
    <s v="No"/>
    <n v="0"/>
    <n v="1"/>
    <n v="4"/>
  </r>
  <r>
    <x v="169"/>
    <s v="Guilherme Souza"/>
    <x v="0"/>
    <d v="2024-08-13T00:00:00"/>
    <x v="0"/>
    <n v="15"/>
    <x v="1"/>
    <x v="0"/>
    <x v="0"/>
    <s v="Yes"/>
    <n v="20"/>
    <n v="5"/>
    <n v="60"/>
  </r>
  <r>
    <x v="170"/>
    <s v="Helena Ribeiro"/>
    <x v="2"/>
    <d v="2024-08-14T00:00:00"/>
    <x v="1"/>
    <n v="10"/>
    <x v="0"/>
    <x v="1"/>
    <x v="1"/>
    <s v="Yes"/>
    <n v="20"/>
    <n v="10"/>
    <n v="20"/>
  </r>
  <r>
    <x v="171"/>
    <s v="Igor Santos"/>
    <x v="1"/>
    <d v="2024-08-15T00:00:00"/>
    <x v="0"/>
    <n v="5"/>
    <x v="2"/>
    <x v="1"/>
    <x v="1"/>
    <s v="No"/>
    <n v="0"/>
    <n v="0"/>
    <n v="5"/>
  </r>
  <r>
    <x v="172"/>
    <s v="João Carvalho"/>
    <x v="0"/>
    <d v="2024-08-16T00:00:00"/>
    <x v="1"/>
    <n v="15"/>
    <x v="0"/>
    <x v="0"/>
    <x v="0"/>
    <s v="Yes"/>
    <n v="20"/>
    <n v="3"/>
    <n v="62"/>
  </r>
  <r>
    <x v="173"/>
    <s v="Klara Fagundes"/>
    <x v="2"/>
    <d v="2024-08-17T00:00:00"/>
    <x v="0"/>
    <n v="10"/>
    <x v="1"/>
    <x v="1"/>
    <x v="1"/>
    <s v="Yes"/>
    <n v="20"/>
    <n v="15"/>
    <n v="15"/>
  </r>
  <r>
    <x v="174"/>
    <s v="Lúcia Mendonça"/>
    <x v="1"/>
    <d v="2024-08-18T00:00:00"/>
    <x v="1"/>
    <n v="5"/>
    <x v="0"/>
    <x v="1"/>
    <x v="1"/>
    <s v="No"/>
    <n v="0"/>
    <n v="1"/>
    <n v="4"/>
  </r>
  <r>
    <x v="175"/>
    <s v="Marcelo Novaes"/>
    <x v="1"/>
    <d v="2024-08-19T00:00:00"/>
    <x v="0"/>
    <n v="5"/>
    <x v="0"/>
    <x v="1"/>
    <x v="1"/>
    <s v="No"/>
    <n v="0"/>
    <n v="0"/>
    <n v="5"/>
  </r>
  <r>
    <x v="176"/>
    <s v="Nina Pacheco"/>
    <x v="0"/>
    <d v="2024-08-20T00:00:00"/>
    <x v="1"/>
    <n v="15"/>
    <x v="2"/>
    <x v="0"/>
    <x v="0"/>
    <s v="Yes"/>
    <n v="20"/>
    <n v="7"/>
    <n v="58"/>
  </r>
  <r>
    <x v="177"/>
    <s v="Olívia Rios"/>
    <x v="2"/>
    <d v="2024-08-21T00:00:00"/>
    <x v="0"/>
    <n v="10"/>
    <x v="1"/>
    <x v="1"/>
    <x v="1"/>
    <s v="Yes"/>
    <n v="20"/>
    <n v="10"/>
    <n v="20"/>
  </r>
  <r>
    <x v="178"/>
    <s v="Paulo Quintana"/>
    <x v="1"/>
    <d v="2024-08-22T00:00:00"/>
    <x v="1"/>
    <n v="5"/>
    <x v="2"/>
    <x v="1"/>
    <x v="1"/>
    <s v="No"/>
    <n v="0"/>
    <n v="1"/>
    <n v="4"/>
  </r>
  <r>
    <x v="179"/>
    <s v="Raquel Domingos"/>
    <x v="0"/>
    <d v="2024-08-23T00:00:00"/>
    <x v="0"/>
    <n v="15"/>
    <x v="0"/>
    <x v="0"/>
    <x v="0"/>
    <s v="Yes"/>
    <n v="20"/>
    <n v="15"/>
    <n v="50"/>
  </r>
  <r>
    <x v="180"/>
    <s v="Samuel Viana"/>
    <x v="2"/>
    <d v="2024-08-24T00:00:00"/>
    <x v="1"/>
    <n v="10"/>
    <x v="0"/>
    <x v="1"/>
    <x v="1"/>
    <s v="Yes"/>
    <n v="20"/>
    <n v="5"/>
    <n v="25"/>
  </r>
  <r>
    <x v="181"/>
    <s v="Tatiane Rocha"/>
    <x v="1"/>
    <d v="2024-08-25T00:00:00"/>
    <x v="0"/>
    <n v="5"/>
    <x v="1"/>
    <x v="1"/>
    <x v="1"/>
    <s v="No"/>
    <n v="0"/>
    <n v="0"/>
    <n v="5"/>
  </r>
  <r>
    <x v="182"/>
    <s v="Ulysses Farias"/>
    <x v="0"/>
    <d v="2024-08-26T00:00:00"/>
    <x v="1"/>
    <n v="15"/>
    <x v="2"/>
    <x v="0"/>
    <x v="0"/>
    <s v="Yes"/>
    <n v="20"/>
    <n v="20"/>
    <n v="45"/>
  </r>
  <r>
    <x v="183"/>
    <s v="Vanessa Moreira"/>
    <x v="2"/>
    <d v="2024-08-27T00:00:00"/>
    <x v="0"/>
    <n v="10"/>
    <x v="2"/>
    <x v="1"/>
    <x v="1"/>
    <s v="Yes"/>
    <n v="20"/>
    <n v="12"/>
    <n v="18"/>
  </r>
  <r>
    <x v="184"/>
    <s v="William Carvalho"/>
    <x v="1"/>
    <d v="2024-08-28T00:00:00"/>
    <x v="1"/>
    <n v="5"/>
    <x v="0"/>
    <x v="1"/>
    <x v="1"/>
    <s v="No"/>
    <n v="0"/>
    <n v="2"/>
    <n v="3"/>
  </r>
  <r>
    <x v="185"/>
    <s v="Ximena Barros"/>
    <x v="0"/>
    <d v="2024-08-29T00:00:00"/>
    <x v="0"/>
    <n v="15"/>
    <x v="1"/>
    <x v="0"/>
    <x v="0"/>
    <s v="Yes"/>
    <n v="20"/>
    <n v="5"/>
    <n v="60"/>
  </r>
  <r>
    <x v="186"/>
    <s v="Yara Machado"/>
    <x v="2"/>
    <d v="2024-08-30T00:00:00"/>
    <x v="1"/>
    <n v="10"/>
    <x v="0"/>
    <x v="1"/>
    <x v="1"/>
    <s v="Yes"/>
    <n v="20"/>
    <n v="10"/>
    <n v="20"/>
  </r>
  <r>
    <x v="187"/>
    <s v="Zacarias Costa"/>
    <x v="1"/>
    <d v="2024-08-31T00:00:00"/>
    <x v="0"/>
    <n v="5"/>
    <x v="2"/>
    <x v="1"/>
    <x v="1"/>
    <s v="No"/>
    <n v="0"/>
    <n v="0"/>
    <n v="5"/>
  </r>
  <r>
    <x v="188"/>
    <s v="André Lopes"/>
    <x v="0"/>
    <d v="2024-09-01T00:00:00"/>
    <x v="1"/>
    <n v="15"/>
    <x v="0"/>
    <x v="0"/>
    <x v="0"/>
    <s v="Yes"/>
    <n v="20"/>
    <n v="3"/>
    <n v="62"/>
  </r>
  <r>
    <x v="189"/>
    <s v="Beatriz Souza"/>
    <x v="2"/>
    <d v="2024-09-02T00:00:00"/>
    <x v="0"/>
    <n v="10"/>
    <x v="1"/>
    <x v="1"/>
    <x v="1"/>
    <s v="Yes"/>
    <n v="20"/>
    <n v="15"/>
    <n v="15"/>
  </r>
  <r>
    <x v="190"/>
    <s v="Caio Pereira"/>
    <x v="1"/>
    <d v="2024-09-03T00:00:00"/>
    <x v="1"/>
    <n v="5"/>
    <x v="0"/>
    <x v="1"/>
    <x v="1"/>
    <s v="No"/>
    <n v="0"/>
    <n v="1"/>
    <n v="4"/>
  </r>
  <r>
    <x v="191"/>
    <s v="Daniela Araújo"/>
    <x v="0"/>
    <d v="2024-09-04T00:00:00"/>
    <x v="0"/>
    <n v="15"/>
    <x v="2"/>
    <x v="0"/>
    <x v="0"/>
    <s v="Yes"/>
    <n v="20"/>
    <n v="7"/>
    <n v="58"/>
  </r>
  <r>
    <x v="192"/>
    <s v="Eduardo Santos"/>
    <x v="2"/>
    <d v="2024-09-05T00:00:00"/>
    <x v="1"/>
    <n v="10"/>
    <x v="0"/>
    <x v="1"/>
    <x v="1"/>
    <s v="Yes"/>
    <n v="20"/>
    <n v="10"/>
    <n v="20"/>
  </r>
  <r>
    <x v="193"/>
    <s v="Fernanda Lima"/>
    <x v="1"/>
    <d v="2024-09-06T00:00:00"/>
    <x v="0"/>
    <n v="5"/>
    <x v="1"/>
    <x v="1"/>
    <x v="1"/>
    <s v="No"/>
    <n v="0"/>
    <n v="0"/>
    <n v="5"/>
  </r>
  <r>
    <x v="194"/>
    <s v="Gabriel Teixeira"/>
    <x v="0"/>
    <d v="2024-09-07T00:00:00"/>
    <x v="1"/>
    <n v="15"/>
    <x v="0"/>
    <x v="0"/>
    <x v="0"/>
    <s v="Yes"/>
    <n v="20"/>
    <n v="20"/>
    <n v="45"/>
  </r>
  <r>
    <x v="195"/>
    <s v="Helena Ribeiro"/>
    <x v="2"/>
    <d v="2024-09-08T00:00:00"/>
    <x v="0"/>
    <n v="10"/>
    <x v="2"/>
    <x v="1"/>
    <x v="1"/>
    <s v="Yes"/>
    <n v="20"/>
    <n v="15"/>
    <n v="15"/>
  </r>
  <r>
    <x v="196"/>
    <s v="Igor Mendes"/>
    <x v="1"/>
    <d v="2024-09-09T00:00:00"/>
    <x v="1"/>
    <n v="5"/>
    <x v="0"/>
    <x v="1"/>
    <x v="1"/>
    <s v="No"/>
    <n v="0"/>
    <n v="1"/>
    <n v="4"/>
  </r>
  <r>
    <x v="197"/>
    <s v="Joana Silveira"/>
    <x v="0"/>
    <d v="2024-09-10T00:00:00"/>
    <x v="0"/>
    <n v="15"/>
    <x v="1"/>
    <x v="0"/>
    <x v="0"/>
    <s v="Yes"/>
    <n v="20"/>
    <n v="3"/>
    <n v="62"/>
  </r>
  <r>
    <x v="198"/>
    <s v="Lucas Martins"/>
    <x v="2"/>
    <d v="2024-09-11T00:00:00"/>
    <x v="1"/>
    <n v="10"/>
    <x v="0"/>
    <x v="1"/>
    <x v="1"/>
    <s v="Yes"/>
    <n v="20"/>
    <n v="10"/>
    <n v="20"/>
  </r>
  <r>
    <x v="199"/>
    <s v="Marcela Gouveia"/>
    <x v="1"/>
    <d v="2024-09-12T00:00:00"/>
    <x v="0"/>
    <n v="5"/>
    <x v="2"/>
    <x v="1"/>
    <x v="1"/>
    <s v="No"/>
    <n v="0"/>
    <n v="0"/>
    <n v="5"/>
  </r>
  <r>
    <x v="200"/>
    <s v="Nicolas Borges"/>
    <x v="0"/>
    <d v="2024-09-13T00:00:00"/>
    <x v="1"/>
    <n v="15"/>
    <x v="0"/>
    <x v="0"/>
    <x v="0"/>
    <s v="Yes"/>
    <n v="20"/>
    <n v="15"/>
    <n v="50"/>
  </r>
  <r>
    <x v="201"/>
    <s v="Olivia Freitas"/>
    <x v="2"/>
    <d v="2024-09-14T00:00:00"/>
    <x v="0"/>
    <n v="10"/>
    <x v="1"/>
    <x v="1"/>
    <x v="1"/>
    <s v="Yes"/>
    <n v="20"/>
    <n v="15"/>
    <n v="15"/>
  </r>
  <r>
    <x v="202"/>
    <s v="Paulo Nogueira"/>
    <x v="1"/>
    <d v="2024-09-15T00:00:00"/>
    <x v="1"/>
    <n v="5"/>
    <x v="0"/>
    <x v="1"/>
    <x v="1"/>
    <s v="No"/>
    <n v="0"/>
    <n v="1"/>
    <n v="4"/>
  </r>
  <r>
    <x v="203"/>
    <s v="Raquel Andrade"/>
    <x v="0"/>
    <d v="2024-09-16T00:00:00"/>
    <x v="0"/>
    <n v="15"/>
    <x v="2"/>
    <x v="0"/>
    <x v="0"/>
    <s v="Yes"/>
    <n v="20"/>
    <n v="7"/>
    <n v="58"/>
  </r>
  <r>
    <x v="204"/>
    <s v="Sônia Carvalho"/>
    <x v="2"/>
    <d v="2024-09-17T00:00:00"/>
    <x v="1"/>
    <n v="10"/>
    <x v="0"/>
    <x v="1"/>
    <x v="1"/>
    <s v="Yes"/>
    <n v="20"/>
    <n v="10"/>
    <n v="20"/>
  </r>
  <r>
    <x v="205"/>
    <s v="Tiago Rodrigues"/>
    <x v="1"/>
    <d v="2024-09-18T00:00:00"/>
    <x v="0"/>
    <n v="5"/>
    <x v="0"/>
    <x v="1"/>
    <x v="1"/>
    <s v="No"/>
    <n v="0"/>
    <n v="0"/>
    <n v="5"/>
  </r>
  <r>
    <x v="206"/>
    <s v="Ursula Monteiro"/>
    <x v="0"/>
    <d v="2024-09-19T00:00:00"/>
    <x v="1"/>
    <n v="15"/>
    <x v="2"/>
    <x v="0"/>
    <x v="0"/>
    <s v="Yes"/>
    <n v="20"/>
    <n v="7"/>
    <n v="58"/>
  </r>
  <r>
    <x v="207"/>
    <s v="Vanessa Pereira"/>
    <x v="2"/>
    <d v="2024-09-20T00:00:00"/>
    <x v="0"/>
    <n v="10"/>
    <x v="1"/>
    <x v="1"/>
    <x v="1"/>
    <s v="Yes"/>
    <n v="20"/>
    <n v="10"/>
    <n v="20"/>
  </r>
  <r>
    <x v="208"/>
    <s v="Walter Silva"/>
    <x v="1"/>
    <d v="2024-09-21T00:00:00"/>
    <x v="1"/>
    <n v="5"/>
    <x v="2"/>
    <x v="1"/>
    <x v="1"/>
    <s v="No"/>
    <n v="0"/>
    <n v="1"/>
    <n v="4"/>
  </r>
  <r>
    <x v="209"/>
    <s v="Xavier Almeida"/>
    <x v="0"/>
    <d v="2024-09-22T00:00:00"/>
    <x v="0"/>
    <n v="15"/>
    <x v="0"/>
    <x v="0"/>
    <x v="0"/>
    <s v="Yes"/>
    <n v="20"/>
    <n v="15"/>
    <n v="50"/>
  </r>
  <r>
    <x v="210"/>
    <s v="Yasmine Correia"/>
    <x v="2"/>
    <d v="2024-09-23T00:00:00"/>
    <x v="1"/>
    <n v="10"/>
    <x v="0"/>
    <x v="1"/>
    <x v="1"/>
    <s v="Yes"/>
    <n v="20"/>
    <n v="5"/>
    <n v="25"/>
  </r>
  <r>
    <x v="211"/>
    <s v="Zacarias Almeida"/>
    <x v="1"/>
    <d v="2024-09-24T00:00:00"/>
    <x v="0"/>
    <n v="5"/>
    <x v="1"/>
    <x v="1"/>
    <x v="1"/>
    <s v="No"/>
    <n v="0"/>
    <n v="0"/>
    <n v="5"/>
  </r>
  <r>
    <x v="212"/>
    <s v="Amanda Costa"/>
    <x v="0"/>
    <d v="2024-09-25T00:00:00"/>
    <x v="1"/>
    <n v="15"/>
    <x v="2"/>
    <x v="0"/>
    <x v="0"/>
    <s v="Yes"/>
    <n v="20"/>
    <n v="20"/>
    <n v="45"/>
  </r>
  <r>
    <x v="213"/>
    <s v="Bruno Ferreira"/>
    <x v="2"/>
    <d v="2024-09-26T00:00:00"/>
    <x v="0"/>
    <n v="10"/>
    <x v="2"/>
    <x v="1"/>
    <x v="1"/>
    <s v="Yes"/>
    <n v="20"/>
    <n v="12"/>
    <n v="18"/>
  </r>
  <r>
    <x v="214"/>
    <s v="Carla Dias"/>
    <x v="1"/>
    <d v="2024-09-27T00:00:00"/>
    <x v="1"/>
    <n v="5"/>
    <x v="0"/>
    <x v="1"/>
    <x v="1"/>
    <s v="No"/>
    <n v="0"/>
    <n v="2"/>
    <n v="3"/>
  </r>
  <r>
    <x v="215"/>
    <s v="Diogo Martins"/>
    <x v="0"/>
    <d v="2024-09-28T00:00:00"/>
    <x v="0"/>
    <n v="15"/>
    <x v="1"/>
    <x v="0"/>
    <x v="0"/>
    <s v="Yes"/>
    <n v="20"/>
    <n v="5"/>
    <n v="60"/>
  </r>
  <r>
    <x v="216"/>
    <s v="Elisa Campos"/>
    <x v="2"/>
    <d v="2024-09-29T00:00:00"/>
    <x v="1"/>
    <n v="10"/>
    <x v="0"/>
    <x v="1"/>
    <x v="1"/>
    <s v="Yes"/>
    <n v="20"/>
    <n v="10"/>
    <n v="20"/>
  </r>
  <r>
    <x v="217"/>
    <s v="Fabiana Lima"/>
    <x v="1"/>
    <d v="2024-09-30T00:00:00"/>
    <x v="0"/>
    <n v="5"/>
    <x v="2"/>
    <x v="1"/>
    <x v="1"/>
    <s v="No"/>
    <n v="0"/>
    <n v="0"/>
    <n v="5"/>
  </r>
  <r>
    <x v="218"/>
    <s v="Gabriel Santos"/>
    <x v="0"/>
    <d v="2024-10-01T00:00:00"/>
    <x v="1"/>
    <n v="15"/>
    <x v="0"/>
    <x v="0"/>
    <x v="0"/>
    <s v="Yes"/>
    <n v="20"/>
    <n v="3"/>
    <n v="62"/>
  </r>
  <r>
    <x v="219"/>
    <s v="Helena Ferreira"/>
    <x v="2"/>
    <d v="2024-10-02T00:00:00"/>
    <x v="0"/>
    <n v="10"/>
    <x v="1"/>
    <x v="1"/>
    <x v="1"/>
    <s v="Yes"/>
    <n v="20"/>
    <n v="15"/>
    <n v="15"/>
  </r>
  <r>
    <x v="220"/>
    <s v="Ígor Nunes"/>
    <x v="1"/>
    <d v="2024-10-03T00:00:00"/>
    <x v="1"/>
    <n v="5"/>
    <x v="0"/>
    <x v="1"/>
    <x v="1"/>
    <s v="No"/>
    <n v="0"/>
    <n v="1"/>
    <n v="4"/>
  </r>
  <r>
    <x v="221"/>
    <s v="Joana Silveira"/>
    <x v="0"/>
    <d v="2024-10-04T00:00:00"/>
    <x v="0"/>
    <n v="15"/>
    <x v="2"/>
    <x v="0"/>
    <x v="0"/>
    <s v="Yes"/>
    <n v="20"/>
    <n v="7"/>
    <n v="58"/>
  </r>
  <r>
    <x v="222"/>
    <s v="Kléber Oliveira"/>
    <x v="2"/>
    <d v="2024-10-05T00:00:00"/>
    <x v="1"/>
    <n v="10"/>
    <x v="0"/>
    <x v="1"/>
    <x v="1"/>
    <s v="Yes"/>
    <n v="20"/>
    <n v="10"/>
    <n v="20"/>
  </r>
  <r>
    <x v="223"/>
    <s v="Luciana Morais"/>
    <x v="1"/>
    <d v="2024-10-06T00:00:00"/>
    <x v="0"/>
    <n v="5"/>
    <x v="1"/>
    <x v="1"/>
    <x v="1"/>
    <s v="No"/>
    <n v="0"/>
    <n v="0"/>
    <n v="5"/>
  </r>
  <r>
    <x v="224"/>
    <s v="Marcos Vinícius"/>
    <x v="0"/>
    <d v="2024-10-07T00:00:00"/>
    <x v="1"/>
    <n v="15"/>
    <x v="0"/>
    <x v="0"/>
    <x v="0"/>
    <s v="Yes"/>
    <n v="20"/>
    <n v="20"/>
    <n v="45"/>
  </r>
  <r>
    <x v="225"/>
    <s v="Natália Barros"/>
    <x v="2"/>
    <d v="2024-10-08T00:00:00"/>
    <x v="0"/>
    <n v="10"/>
    <x v="2"/>
    <x v="1"/>
    <x v="1"/>
    <s v="Yes"/>
    <n v="20"/>
    <n v="15"/>
    <n v="15"/>
  </r>
  <r>
    <x v="226"/>
    <s v="Oscar Sampaio"/>
    <x v="1"/>
    <d v="2024-10-09T00:00:00"/>
    <x v="1"/>
    <n v="5"/>
    <x v="0"/>
    <x v="1"/>
    <x v="1"/>
    <s v="No"/>
    <n v="0"/>
    <n v="1"/>
    <n v="4"/>
  </r>
  <r>
    <x v="227"/>
    <s v="Patrícia Leite"/>
    <x v="0"/>
    <d v="2024-10-10T00:00:00"/>
    <x v="0"/>
    <n v="15"/>
    <x v="1"/>
    <x v="0"/>
    <x v="0"/>
    <s v="Yes"/>
    <n v="20"/>
    <n v="3"/>
    <n v="62"/>
  </r>
  <r>
    <x v="228"/>
    <s v="Quênia Rocha"/>
    <x v="2"/>
    <d v="2024-10-11T00:00:00"/>
    <x v="1"/>
    <n v="10"/>
    <x v="0"/>
    <x v="1"/>
    <x v="1"/>
    <s v="Yes"/>
    <n v="20"/>
    <n v="10"/>
    <n v="20"/>
  </r>
  <r>
    <x v="229"/>
    <s v="Rafael Torres"/>
    <x v="1"/>
    <d v="2024-10-12T00:00:00"/>
    <x v="0"/>
    <n v="5"/>
    <x v="2"/>
    <x v="1"/>
    <x v="1"/>
    <s v="No"/>
    <n v="0"/>
    <n v="0"/>
    <n v="5"/>
  </r>
  <r>
    <x v="230"/>
    <s v="Sandra Gouveia"/>
    <x v="0"/>
    <d v="2024-10-13T00:00:00"/>
    <x v="1"/>
    <n v="15"/>
    <x v="0"/>
    <x v="0"/>
    <x v="0"/>
    <s v="Yes"/>
    <n v="20"/>
    <n v="15"/>
    <n v="50"/>
  </r>
  <r>
    <x v="231"/>
    <s v="Tiago Lacerda"/>
    <x v="2"/>
    <d v="2024-10-14T00:00:00"/>
    <x v="0"/>
    <n v="10"/>
    <x v="1"/>
    <x v="1"/>
    <x v="1"/>
    <s v="Yes"/>
    <n v="20"/>
    <n v="15"/>
    <n v="15"/>
  </r>
  <r>
    <x v="232"/>
    <s v="Ursula Fonseca"/>
    <x v="1"/>
    <d v="2024-10-15T00:00:00"/>
    <x v="1"/>
    <n v="5"/>
    <x v="0"/>
    <x v="1"/>
    <x v="1"/>
    <s v="No"/>
    <n v="0"/>
    <n v="1"/>
    <n v="4"/>
  </r>
  <r>
    <x v="233"/>
    <s v="Vanessa Andrade"/>
    <x v="0"/>
    <d v="2024-10-16T00:00:00"/>
    <x v="0"/>
    <n v="15"/>
    <x v="2"/>
    <x v="0"/>
    <x v="0"/>
    <s v="Yes"/>
    <n v="20"/>
    <n v="7"/>
    <n v="58"/>
  </r>
  <r>
    <x v="234"/>
    <s v="William Castro"/>
    <x v="2"/>
    <d v="2024-10-17T00:00:00"/>
    <x v="1"/>
    <n v="10"/>
    <x v="0"/>
    <x v="1"/>
    <x v="1"/>
    <s v="Yes"/>
    <n v="20"/>
    <n v="10"/>
    <n v="20"/>
  </r>
  <r>
    <x v="235"/>
    <s v="Xavier Monteiro"/>
    <x v="1"/>
    <d v="2024-10-18T00:00:00"/>
    <x v="0"/>
    <n v="5"/>
    <x v="1"/>
    <x v="1"/>
    <x v="1"/>
    <s v="No"/>
    <n v="0"/>
    <n v="0"/>
    <n v="5"/>
  </r>
  <r>
    <x v="236"/>
    <s v="Yasmin Figueira"/>
    <x v="0"/>
    <d v="2024-10-19T00:00:00"/>
    <x v="1"/>
    <n v="15"/>
    <x v="0"/>
    <x v="0"/>
    <x v="0"/>
    <s v="Yes"/>
    <n v="20"/>
    <n v="15"/>
    <n v="50"/>
  </r>
  <r>
    <x v="237"/>
    <s v="Zacarias Mendonça"/>
    <x v="2"/>
    <d v="2024-10-20T00:00:00"/>
    <x v="0"/>
    <n v="10"/>
    <x v="2"/>
    <x v="1"/>
    <x v="1"/>
    <s v="Yes"/>
    <n v="20"/>
    <n v="12"/>
    <n v="18"/>
  </r>
  <r>
    <x v="238"/>
    <s v="Amanda Menezes"/>
    <x v="1"/>
    <d v="2024-10-21T00:00:00"/>
    <x v="1"/>
    <n v="5"/>
    <x v="0"/>
    <x v="1"/>
    <x v="1"/>
    <s v="No"/>
    <n v="0"/>
    <n v="2"/>
    <n v="3"/>
  </r>
  <r>
    <x v="239"/>
    <s v="Bruno Santos"/>
    <x v="0"/>
    <d v="2024-10-22T00:00:00"/>
    <x v="0"/>
    <n v="15"/>
    <x v="1"/>
    <x v="0"/>
    <x v="0"/>
    <s v="Yes"/>
    <n v="20"/>
    <n v="5"/>
    <n v="60"/>
  </r>
  <r>
    <x v="240"/>
    <s v="Carla Ferreira"/>
    <x v="2"/>
    <d v="2024-10-23T00:00:00"/>
    <x v="1"/>
    <n v="10"/>
    <x v="0"/>
    <x v="1"/>
    <x v="1"/>
    <s v="Yes"/>
    <n v="20"/>
    <n v="10"/>
    <n v="20"/>
  </r>
  <r>
    <x v="241"/>
    <s v="Diogo Alves"/>
    <x v="1"/>
    <d v="2024-10-24T00:00:00"/>
    <x v="0"/>
    <n v="5"/>
    <x v="2"/>
    <x v="1"/>
    <x v="1"/>
    <s v="No"/>
    <n v="0"/>
    <n v="0"/>
    <n v="5"/>
  </r>
  <r>
    <x v="242"/>
    <s v="Elisa Neves"/>
    <x v="0"/>
    <d v="2024-10-25T00:00:00"/>
    <x v="1"/>
    <n v="15"/>
    <x v="0"/>
    <x v="0"/>
    <x v="0"/>
    <s v="Yes"/>
    <n v="20"/>
    <n v="3"/>
    <n v="62"/>
  </r>
  <r>
    <x v="243"/>
    <s v="Fabiano Pires"/>
    <x v="2"/>
    <d v="2024-10-26T00:00:00"/>
    <x v="0"/>
    <n v="10"/>
    <x v="1"/>
    <x v="1"/>
    <x v="1"/>
    <s v="Yes"/>
    <n v="20"/>
    <n v="15"/>
    <n v="15"/>
  </r>
  <r>
    <x v="244"/>
    <s v="Giovana Ribeiro"/>
    <x v="1"/>
    <d v="2024-10-27T00:00:00"/>
    <x v="1"/>
    <n v="5"/>
    <x v="0"/>
    <x v="1"/>
    <x v="1"/>
    <s v="No"/>
    <n v="0"/>
    <n v="1"/>
    <n v="4"/>
  </r>
  <r>
    <x v="245"/>
    <s v="Hélio Costa"/>
    <x v="0"/>
    <d v="2024-10-28T00:00:00"/>
    <x v="0"/>
    <n v="15"/>
    <x v="2"/>
    <x v="0"/>
    <x v="0"/>
    <s v="Yes"/>
    <n v="20"/>
    <n v="7"/>
    <n v="58"/>
  </r>
  <r>
    <x v="246"/>
    <s v="Íris Loureiro"/>
    <x v="2"/>
    <d v="2024-10-29T00:00:00"/>
    <x v="1"/>
    <n v="10"/>
    <x v="0"/>
    <x v="1"/>
    <x v="1"/>
    <s v="Yes"/>
    <n v="20"/>
    <n v="10"/>
    <n v="20"/>
  </r>
  <r>
    <x v="247"/>
    <s v="João Pereira"/>
    <x v="1"/>
    <d v="2024-10-30T00:00:00"/>
    <x v="0"/>
    <n v="5"/>
    <x v="1"/>
    <x v="1"/>
    <x v="1"/>
    <s v="No"/>
    <n v="0"/>
    <n v="0"/>
    <n v="5"/>
  </r>
  <r>
    <x v="248"/>
    <s v="Klara Silva"/>
    <x v="0"/>
    <d v="2024-10-31T00:00:00"/>
    <x v="1"/>
    <n v="15"/>
    <x v="0"/>
    <x v="0"/>
    <x v="0"/>
    <s v="Yes"/>
    <n v="20"/>
    <n v="20"/>
    <n v="45"/>
  </r>
  <r>
    <x v="249"/>
    <s v="Luciana Barros"/>
    <x v="2"/>
    <d v="2024-11-01T00:00:00"/>
    <x v="0"/>
    <n v="10"/>
    <x v="2"/>
    <x v="1"/>
    <x v="1"/>
    <s v="Yes"/>
    <n v="20"/>
    <n v="15"/>
    <n v="15"/>
  </r>
  <r>
    <x v="250"/>
    <s v="Marcos Gomes"/>
    <x v="1"/>
    <d v="2024-11-02T00:00:00"/>
    <x v="1"/>
    <n v="5"/>
    <x v="0"/>
    <x v="1"/>
    <x v="1"/>
    <s v="No"/>
    <n v="0"/>
    <n v="1"/>
    <n v="4"/>
  </r>
  <r>
    <x v="251"/>
    <s v="Natália Soares"/>
    <x v="0"/>
    <d v="2024-11-03T00:00:00"/>
    <x v="0"/>
    <n v="15"/>
    <x v="1"/>
    <x v="0"/>
    <x v="0"/>
    <s v="Yes"/>
    <n v="20"/>
    <n v="3"/>
    <n v="62"/>
  </r>
  <r>
    <x v="252"/>
    <s v="Oscar Machado"/>
    <x v="2"/>
    <d v="2024-11-04T00:00:00"/>
    <x v="1"/>
    <n v="10"/>
    <x v="0"/>
    <x v="1"/>
    <x v="1"/>
    <s v="Yes"/>
    <n v="20"/>
    <n v="10"/>
    <n v="20"/>
  </r>
  <r>
    <x v="253"/>
    <s v="Patrícia Lima"/>
    <x v="1"/>
    <d v="2024-11-05T00:00:00"/>
    <x v="0"/>
    <n v="5"/>
    <x v="2"/>
    <x v="1"/>
    <x v="1"/>
    <s v="No"/>
    <n v="0"/>
    <n v="0"/>
    <n v="5"/>
  </r>
  <r>
    <x v="254"/>
    <s v="Quirino Neto"/>
    <x v="0"/>
    <d v="2024-11-06T00:00:00"/>
    <x v="1"/>
    <n v="15"/>
    <x v="0"/>
    <x v="0"/>
    <x v="0"/>
    <s v="Yes"/>
    <n v="20"/>
    <n v="15"/>
    <n v="50"/>
  </r>
  <r>
    <x v="255"/>
    <s v="Rafaela Souza"/>
    <x v="1"/>
    <d v="2024-11-07T00:00:00"/>
    <x v="0"/>
    <n v="5"/>
    <x v="0"/>
    <x v="1"/>
    <x v="1"/>
    <s v="No"/>
    <n v="0"/>
    <n v="0"/>
    <n v="5"/>
  </r>
  <r>
    <x v="256"/>
    <s v="Sandro Almeida"/>
    <x v="0"/>
    <d v="2024-11-08T00:00:00"/>
    <x v="1"/>
    <n v="15"/>
    <x v="2"/>
    <x v="0"/>
    <x v="0"/>
    <s v="Yes"/>
    <n v="20"/>
    <n v="7"/>
    <n v="58"/>
  </r>
  <r>
    <x v="257"/>
    <s v="Tânia Ribeiro"/>
    <x v="2"/>
    <d v="2024-11-09T00:00:00"/>
    <x v="0"/>
    <n v="10"/>
    <x v="1"/>
    <x v="1"/>
    <x v="1"/>
    <s v="Yes"/>
    <n v="20"/>
    <n v="10"/>
    <n v="20"/>
  </r>
  <r>
    <x v="258"/>
    <s v="Ugo Dias"/>
    <x v="1"/>
    <d v="2024-11-10T00:00:00"/>
    <x v="1"/>
    <n v="5"/>
    <x v="2"/>
    <x v="1"/>
    <x v="1"/>
    <s v="No"/>
    <n v="0"/>
    <n v="1"/>
    <n v="4"/>
  </r>
  <r>
    <x v="259"/>
    <s v="Valéria Lima"/>
    <x v="0"/>
    <d v="2024-11-11T00:00:00"/>
    <x v="0"/>
    <n v="15"/>
    <x v="0"/>
    <x v="0"/>
    <x v="0"/>
    <s v="Yes"/>
    <n v="20"/>
    <n v="15"/>
    <n v="50"/>
  </r>
  <r>
    <x v="260"/>
    <s v="William Fernandes"/>
    <x v="2"/>
    <d v="2024-11-12T00:00:00"/>
    <x v="1"/>
    <n v="10"/>
    <x v="0"/>
    <x v="1"/>
    <x v="1"/>
    <s v="Yes"/>
    <n v="20"/>
    <n v="5"/>
    <n v="25"/>
  </r>
  <r>
    <x v="261"/>
    <s v="Xuxa Mendes"/>
    <x v="1"/>
    <d v="2024-11-13T00:00:00"/>
    <x v="0"/>
    <n v="5"/>
    <x v="1"/>
    <x v="1"/>
    <x v="1"/>
    <s v="No"/>
    <n v="0"/>
    <n v="0"/>
    <n v="5"/>
  </r>
  <r>
    <x v="262"/>
    <s v="Ygor Farias"/>
    <x v="0"/>
    <d v="2024-11-14T00:00:00"/>
    <x v="1"/>
    <n v="15"/>
    <x v="2"/>
    <x v="0"/>
    <x v="0"/>
    <s v="Yes"/>
    <n v="20"/>
    <n v="20"/>
    <n v="45"/>
  </r>
  <r>
    <x v="263"/>
    <s v="Zilda Barros"/>
    <x v="2"/>
    <d v="2024-11-15T00:00:00"/>
    <x v="0"/>
    <n v="10"/>
    <x v="2"/>
    <x v="1"/>
    <x v="1"/>
    <s v="Yes"/>
    <n v="20"/>
    <n v="12"/>
    <n v="18"/>
  </r>
  <r>
    <x v="264"/>
    <s v="Amanda Santos"/>
    <x v="1"/>
    <d v="2024-11-16T00:00:00"/>
    <x v="1"/>
    <n v="5"/>
    <x v="0"/>
    <x v="1"/>
    <x v="1"/>
    <s v="No"/>
    <n v="0"/>
    <n v="2"/>
    <n v="3"/>
  </r>
  <r>
    <x v="265"/>
    <s v="Bruno Costa"/>
    <x v="0"/>
    <d v="2024-11-17T00:00:00"/>
    <x v="0"/>
    <n v="15"/>
    <x v="1"/>
    <x v="0"/>
    <x v="0"/>
    <s v="Yes"/>
    <n v="20"/>
    <n v="5"/>
    <n v="60"/>
  </r>
  <r>
    <x v="266"/>
    <s v="Carla Rodrigues"/>
    <x v="2"/>
    <d v="2024-11-18T00:00:00"/>
    <x v="1"/>
    <n v="10"/>
    <x v="0"/>
    <x v="1"/>
    <x v="1"/>
    <s v="Yes"/>
    <n v="20"/>
    <n v="10"/>
    <n v="20"/>
  </r>
  <r>
    <x v="267"/>
    <s v="Diogo Pereira"/>
    <x v="1"/>
    <d v="2024-11-19T00:00:00"/>
    <x v="0"/>
    <n v="5"/>
    <x v="2"/>
    <x v="1"/>
    <x v="1"/>
    <s v="No"/>
    <n v="0"/>
    <n v="0"/>
    <n v="5"/>
  </r>
  <r>
    <x v="268"/>
    <s v="Elisa Correia"/>
    <x v="0"/>
    <d v="2024-11-20T00:00:00"/>
    <x v="1"/>
    <n v="15"/>
    <x v="0"/>
    <x v="0"/>
    <x v="0"/>
    <s v="Yes"/>
    <n v="20"/>
    <n v="3"/>
    <n v="62"/>
  </r>
  <r>
    <x v="269"/>
    <s v="Fábio Lourenço"/>
    <x v="2"/>
    <d v="2024-11-21T00:00:00"/>
    <x v="0"/>
    <n v="10"/>
    <x v="1"/>
    <x v="1"/>
    <x v="1"/>
    <s v="Yes"/>
    <n v="20"/>
    <n v="15"/>
    <n v="15"/>
  </r>
  <r>
    <x v="270"/>
    <s v="Gabriela Neves"/>
    <x v="1"/>
    <d v="2024-11-22T00:00:00"/>
    <x v="1"/>
    <n v="5"/>
    <x v="0"/>
    <x v="1"/>
    <x v="1"/>
    <s v="No"/>
    <n v="0"/>
    <n v="1"/>
    <n v="4"/>
  </r>
  <r>
    <x v="271"/>
    <s v="Henrique Gonçalves"/>
    <x v="0"/>
    <d v="2024-11-23T00:00:00"/>
    <x v="0"/>
    <n v="15"/>
    <x v="2"/>
    <x v="0"/>
    <x v="0"/>
    <s v="Yes"/>
    <n v="20"/>
    <n v="7"/>
    <n v="58"/>
  </r>
  <r>
    <x v="272"/>
    <s v="Íris Santos"/>
    <x v="2"/>
    <d v="2024-11-24T00:00:00"/>
    <x v="1"/>
    <n v="10"/>
    <x v="0"/>
    <x v="1"/>
    <x v="1"/>
    <s v="Yes"/>
    <n v="20"/>
    <n v="10"/>
    <n v="20"/>
  </r>
  <r>
    <x v="273"/>
    <s v="João Marcelo Alves"/>
    <x v="1"/>
    <d v="2024-11-25T00:00:00"/>
    <x v="0"/>
    <n v="5"/>
    <x v="1"/>
    <x v="1"/>
    <x v="1"/>
    <s v="No"/>
    <n v="0"/>
    <n v="0"/>
    <n v="5"/>
  </r>
  <r>
    <x v="274"/>
    <s v="Klara Fonseca"/>
    <x v="0"/>
    <d v="2024-11-26T00:00:00"/>
    <x v="1"/>
    <n v="15"/>
    <x v="0"/>
    <x v="0"/>
    <x v="0"/>
    <s v="Yes"/>
    <n v="20"/>
    <n v="20"/>
    <n v="45"/>
  </r>
  <r>
    <x v="275"/>
    <s v="Lucas Mendonça"/>
    <x v="2"/>
    <d v="2024-11-27T00:00:00"/>
    <x v="0"/>
    <n v="10"/>
    <x v="2"/>
    <x v="1"/>
    <x v="1"/>
    <s v="Yes"/>
    <n v="20"/>
    <n v="15"/>
    <n v="15"/>
  </r>
  <r>
    <x v="276"/>
    <s v="Marcela Torres"/>
    <x v="1"/>
    <d v="2024-11-28T00:00:00"/>
    <x v="1"/>
    <n v="5"/>
    <x v="0"/>
    <x v="1"/>
    <x v="1"/>
    <s v="No"/>
    <n v="0"/>
    <n v="1"/>
    <n v="4"/>
  </r>
  <r>
    <x v="277"/>
    <s v="Natália Castro"/>
    <x v="0"/>
    <d v="2024-11-29T00:00:00"/>
    <x v="0"/>
    <n v="15"/>
    <x v="1"/>
    <x v="0"/>
    <x v="0"/>
    <s v="Yes"/>
    <n v="20"/>
    <n v="3"/>
    <n v="62"/>
  </r>
  <r>
    <x v="278"/>
    <s v="Oscar Martins"/>
    <x v="2"/>
    <d v="2024-11-30T00:00:00"/>
    <x v="1"/>
    <n v="10"/>
    <x v="0"/>
    <x v="1"/>
    <x v="1"/>
    <s v="Yes"/>
    <n v="20"/>
    <n v="10"/>
    <n v="20"/>
  </r>
  <r>
    <x v="279"/>
    <s v="Patrícia Oliveira"/>
    <x v="1"/>
    <d v="2024-12-01T00:00:00"/>
    <x v="0"/>
    <n v="5"/>
    <x v="2"/>
    <x v="1"/>
    <x v="1"/>
    <s v="No"/>
    <n v="0"/>
    <n v="0"/>
    <n v="5"/>
  </r>
  <r>
    <x v="280"/>
    <s v="Quentin Nogueira"/>
    <x v="0"/>
    <d v="2024-12-02T00:00:00"/>
    <x v="1"/>
    <n v="15"/>
    <x v="0"/>
    <x v="0"/>
    <x v="0"/>
    <s v="Yes"/>
    <n v="20"/>
    <n v="15"/>
    <n v="50"/>
  </r>
  <r>
    <x v="281"/>
    <s v="Raquel Silva"/>
    <x v="2"/>
    <d v="2024-12-03T00:00:00"/>
    <x v="0"/>
    <n v="10"/>
    <x v="1"/>
    <x v="1"/>
    <x v="1"/>
    <s v="Yes"/>
    <n v="20"/>
    <n v="15"/>
    <n v="15"/>
  </r>
  <r>
    <x v="282"/>
    <s v="Sandro Gomes"/>
    <x v="1"/>
    <d v="2024-12-04T00:00:00"/>
    <x v="1"/>
    <n v="5"/>
    <x v="0"/>
    <x v="1"/>
    <x v="1"/>
    <s v="No"/>
    <n v="0"/>
    <n v="1"/>
    <n v="4"/>
  </r>
  <r>
    <x v="283"/>
    <s v="Tânia Machado"/>
    <x v="0"/>
    <d v="2024-12-05T00:00:00"/>
    <x v="0"/>
    <n v="15"/>
    <x v="2"/>
    <x v="0"/>
    <x v="0"/>
    <s v="Yes"/>
    <n v="20"/>
    <n v="7"/>
    <n v="58"/>
  </r>
  <r>
    <x v="284"/>
    <s v="Ursula Silva"/>
    <x v="2"/>
    <d v="2024-12-06T00:00:00"/>
    <x v="1"/>
    <n v="10"/>
    <x v="0"/>
    <x v="1"/>
    <x v="1"/>
    <s v="Yes"/>
    <n v="20"/>
    <n v="10"/>
    <n v="20"/>
  </r>
  <r>
    <x v="285"/>
    <s v="Vanessa Moraes"/>
    <x v="1"/>
    <d v="2024-12-07T00:00:00"/>
    <x v="0"/>
    <n v="5"/>
    <x v="1"/>
    <x v="1"/>
    <x v="1"/>
    <s v="No"/>
    <n v="0"/>
    <n v="0"/>
    <n v="5"/>
  </r>
  <r>
    <x v="286"/>
    <s v="William Carvalho"/>
    <x v="0"/>
    <d v="2024-12-08T00:00:00"/>
    <x v="1"/>
    <n v="15"/>
    <x v="0"/>
    <x v="0"/>
    <x v="0"/>
    <s v="Yes"/>
    <n v="20"/>
    <n v="20"/>
    <n v="45"/>
  </r>
  <r>
    <x v="287"/>
    <s v="Xavier Reis"/>
    <x v="2"/>
    <d v="2024-12-09T00:00:00"/>
    <x v="0"/>
    <n v="10"/>
    <x v="2"/>
    <x v="1"/>
    <x v="1"/>
    <s v="Yes"/>
    <n v="20"/>
    <n v="12"/>
    <n v="18"/>
  </r>
  <r>
    <x v="288"/>
    <s v="Yasmin Rocha"/>
    <x v="1"/>
    <d v="2024-12-10T00:00:00"/>
    <x v="1"/>
    <n v="5"/>
    <x v="0"/>
    <x v="1"/>
    <x v="1"/>
    <s v="No"/>
    <n v="0"/>
    <n v="2"/>
    <n v="3"/>
  </r>
  <r>
    <x v="289"/>
    <s v="Zacarias Duarte"/>
    <x v="0"/>
    <d v="2024-12-11T00:00:00"/>
    <x v="0"/>
    <n v="15"/>
    <x v="1"/>
    <x v="0"/>
    <x v="0"/>
    <s v="Yes"/>
    <n v="20"/>
    <n v="5"/>
    <n v="60"/>
  </r>
  <r>
    <x v="290"/>
    <s v="Amanda Freitas"/>
    <x v="2"/>
    <d v="2024-12-12T00:00:00"/>
    <x v="1"/>
    <n v="10"/>
    <x v="0"/>
    <x v="1"/>
    <x v="1"/>
    <s v="Yes"/>
    <n v="20"/>
    <n v="10"/>
    <n v="20"/>
  </r>
  <r>
    <x v="291"/>
    <s v="Bruno Almeida"/>
    <x v="1"/>
    <d v="2024-12-13T00:00:00"/>
    <x v="0"/>
    <n v="5"/>
    <x v="2"/>
    <x v="1"/>
    <x v="1"/>
    <s v="No"/>
    <n v="0"/>
    <n v="0"/>
    <n v="5"/>
  </r>
  <r>
    <x v="292"/>
    <s v="Carla Siqueira"/>
    <x v="0"/>
    <d v="2024-12-14T00:00:00"/>
    <x v="1"/>
    <n v="15"/>
    <x v="0"/>
    <x v="0"/>
    <x v="0"/>
    <s v="Yes"/>
    <n v="20"/>
    <n v="3"/>
    <n v="62"/>
  </r>
  <r>
    <x v="293"/>
    <s v="Diogo Ramos"/>
    <x v="2"/>
    <d v="2024-12-15T00:00:00"/>
    <x v="0"/>
    <n v="10"/>
    <x v="1"/>
    <x v="1"/>
    <x v="1"/>
    <s v="Yes"/>
    <n v="20"/>
    <n v="15"/>
    <n v="15"/>
  </r>
  <r>
    <x v="294"/>
    <s v="Elisa Magalhães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EEA5-1946-4169-BE81-90715234F81A}" name="Tabela dinâmica6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5:B39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sd="0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36">
      <pivotArea dataOnly="0" labelOnly="1" outline="0" axis="axisValues" fieldPosition="0"/>
    </format>
    <format dxfId="3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FBAA59-D987-4434-98D7-C30745770D5D}" name="tabela_EA_play_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24:B26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sd="0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38">
      <pivotArea dataOnly="0" labelOnly="1" outline="0" axis="axisValues" fieldPosition="0"/>
    </format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FE923-434F-444B-A2B8-B51E728AEF46}" name="Tabela dinâmica3" cacheId="11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h="1" sd="0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2">
    <field x="6"/>
    <field x="4"/>
  </rowFields>
  <rowItems count="4">
    <i>
      <x/>
    </i>
    <i r="1">
      <x/>
    </i>
    <i r="1">
      <x v="1"/>
    </i>
    <i t="grand">
      <x/>
    </i>
  </rowItems>
  <colItems count="1">
    <i/>
  </colItems>
  <dataFields count="1">
    <dataField name="Soma de Total Value" fld="12" baseField="0" baseItem="0" numFmtId="44"/>
  </dataFields>
  <formats count="2">
    <format dxfId="48">
      <pivotArea outline="0" collapsedLevelsAreSubtotals="1" fieldPosition="0"/>
    </format>
    <format dxfId="49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84CC3739-5D3A-45AB-9FDC-52488DA0206D}" sourceName="Subscription Type">
  <pivotTables>
    <pivotTable tabId="3" name="Tabela dinâmica3"/>
    <pivotTable tabId="3" name="tabela_EA_play_"/>
    <pivotTable tabId="3" name="Tabela dinâmica6"/>
  </pivotTables>
  <data>
    <tabular pivotCacheId="1605115253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0436794-C9EA-480D-AE2E-BBEC8EFA474E}" cache="SegmentaçãodeDados_Subscription_Type" caption="Subscription Type" style="SlicerStyleLight6 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63">
  <autoFilter ref="A1:M296" xr:uid="{34E0E886-4200-4B36-97B3-63DB74FF40A0}">
    <filterColumn colId="6">
      <filters>
        <filter val="Annual"/>
      </filters>
    </filterColumn>
  </autoFilter>
  <tableColumns count="13">
    <tableColumn id="1" xr3:uid="{C4A90516-688A-46BF-9167-EA16C2A8A652}" name="Subscriber ID" dataDxfId="62"/>
    <tableColumn id="2" xr3:uid="{53DD39D0-2220-4121-9E9D-4EAA7E151C0F}" name="Name" dataDxfId="61"/>
    <tableColumn id="3" xr3:uid="{4F5FF271-4C57-4BE0-8F2C-F82C8551625C}" name="Plan" dataDxfId="60"/>
    <tableColumn id="4" xr3:uid="{8C17EB93-79B9-4E55-B8F7-BEB82F8253E9}" name="Start Date" dataDxfId="59"/>
    <tableColumn id="5" xr3:uid="{48CEDF9B-1689-482A-A828-5CCE7713264A}" name="Auto Renewal" dataDxfId="58"/>
    <tableColumn id="6" xr3:uid="{78B82374-9AA7-4E38-AE4F-78CDE6C83720}" name="Subscription Price" dataDxfId="57" dataCellStyle="Moeda"/>
    <tableColumn id="7" xr3:uid="{F2433F68-AF33-49D0-B1FB-19A396074EDE}" name="Subscription Type" dataDxfId="56"/>
    <tableColumn id="8" xr3:uid="{FD4D9C95-F6E5-4933-9068-A71FF7DF9343}" name="EA Play Season Pass" dataDxfId="55"/>
    <tableColumn id="13" xr3:uid="{978DD0D2-834E-4CE4-A39B-30976086932F}" name="EA Play Season Pass_x000a_Price" dataDxfId="54" dataCellStyle="Moeda"/>
    <tableColumn id="9" xr3:uid="{6E29F111-C395-4580-9DAD-3407D9E8B1A4}" name="Minecraft Season Pass" dataDxfId="53"/>
    <tableColumn id="10" xr3:uid="{EF544EAA-7F25-4FD5-A10E-8E62804DB9E3}" name="Minecraft Season Pass Price" dataDxfId="52" dataCellStyle="Moeda"/>
    <tableColumn id="11" xr3:uid="{7F6EB64A-1F07-4E48-9F0F-AC7D9DCD26F8}" name="Coupon Value" dataDxfId="51" dataCellStyle="Moeda"/>
    <tableColumn id="12" xr3:uid="{2B04ABC8-DE6F-426E-ADC0-D8AFC68CA58E}" name="Total Value" dataDxfId="5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7" zoomScaleNormal="100" workbookViewId="0">
      <selection activeCell="E5" sqref="E5"/>
    </sheetView>
  </sheetViews>
  <sheetFormatPr defaultRowHeight="13.8"/>
  <cols>
    <col min="9" max="9" width="3.597656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 ht="15">
      <c r="B5" s="3" t="s">
        <v>2</v>
      </c>
      <c r="C5" t="s">
        <v>8</v>
      </c>
      <c r="E5" s="7" t="s">
        <v>6</v>
      </c>
      <c r="F5" t="s">
        <v>7</v>
      </c>
    </row>
    <row r="6" spans="2:16" ht="15">
      <c r="B6" s="4" t="s">
        <v>3</v>
      </c>
      <c r="C6" t="s">
        <v>8</v>
      </c>
    </row>
    <row r="7" spans="2:16" ht="15">
      <c r="B7" s="5" t="s">
        <v>4</v>
      </c>
      <c r="C7" t="s">
        <v>9</v>
      </c>
    </row>
    <row r="8" spans="2:16" ht="15">
      <c r="B8" s="6" t="s">
        <v>5</v>
      </c>
      <c r="C8" t="s">
        <v>9</v>
      </c>
    </row>
    <row r="12" spans="2:16" ht="19.8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 ht="15">
      <c r="B14" s="2"/>
      <c r="C14" s="2"/>
      <c r="D14" s="2"/>
      <c r="E14" s="2"/>
      <c r="F14" s="2"/>
      <c r="G14" s="2"/>
      <c r="H14" s="2"/>
    </row>
    <row r="15" spans="2:16" ht="15">
      <c r="B15" s="2"/>
      <c r="C15" s="2"/>
      <c r="D15" s="2"/>
      <c r="E15" s="2"/>
      <c r="F15" s="2"/>
      <c r="G15" s="2"/>
      <c r="H15" s="2"/>
    </row>
    <row r="16" spans="2:16" ht="15">
      <c r="B16" s="2"/>
      <c r="C16" s="2"/>
      <c r="D16" s="2"/>
      <c r="E16" s="2"/>
      <c r="F16" s="2"/>
      <c r="G16" s="2"/>
      <c r="H16" s="2"/>
    </row>
    <row r="17" spans="2:8" ht="15">
      <c r="B17" s="2"/>
      <c r="C17" s="2"/>
      <c r="D17" s="2"/>
      <c r="E17" s="2"/>
      <c r="F17" s="2"/>
      <c r="G17" s="2"/>
      <c r="H17" s="2"/>
    </row>
    <row r="18" spans="2:8" ht="15">
      <c r="B18" s="2"/>
      <c r="C18" s="2"/>
      <c r="D18" s="2"/>
      <c r="E18" s="2"/>
      <c r="F18" s="2"/>
      <c r="G18" s="2"/>
      <c r="H18" s="2"/>
    </row>
    <row r="19" spans="2:8" ht="15">
      <c r="B19" s="2"/>
      <c r="C19" s="2"/>
      <c r="D19" s="2"/>
      <c r="E19" s="2"/>
      <c r="F19" s="2"/>
      <c r="G19" s="2"/>
      <c r="H19" s="2"/>
    </row>
    <row r="20" spans="2:8" ht="15">
      <c r="B20" s="2"/>
      <c r="C20" s="2"/>
      <c r="D20" s="2"/>
      <c r="E20" s="2"/>
      <c r="F20" s="2"/>
      <c r="G20" s="2"/>
      <c r="H20" s="2"/>
    </row>
    <row r="21" spans="2:8" ht="1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203" zoomScale="90" zoomScaleNormal="90" workbookViewId="0">
      <selection activeCell="Q279" sqref="Q279"/>
    </sheetView>
  </sheetViews>
  <sheetFormatPr defaultRowHeight="13.8"/>
  <cols>
    <col min="1" max="1" width="17.8984375" bestFit="1" customWidth="1"/>
    <col min="2" max="2" width="18.8984375" bestFit="1" customWidth="1"/>
    <col min="3" max="3" width="9.3984375" bestFit="1" customWidth="1"/>
    <col min="4" max="4" width="14.59765625" bestFit="1" customWidth="1"/>
    <col min="5" max="5" width="18" bestFit="1" customWidth="1"/>
    <col min="6" max="6" width="14.69921875" bestFit="1" customWidth="1"/>
    <col min="7" max="7" width="22" bestFit="1" customWidth="1"/>
    <col min="8" max="8" width="20.59765625" bestFit="1" customWidth="1"/>
    <col min="9" max="9" width="20.59765625" customWidth="1"/>
    <col min="10" max="10" width="16.69921875" bestFit="1" customWidth="1"/>
    <col min="11" max="11" width="21.296875" bestFit="1" customWidth="1"/>
    <col min="12" max="12" width="12.69921875" bestFit="1" customWidth="1"/>
    <col min="13" max="13" width="10.597656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D39"/>
  <sheetViews>
    <sheetView showGridLines="0" topLeftCell="A16" zoomScale="85" zoomScaleNormal="85" workbookViewId="0">
      <selection activeCell="D36" sqref="D36"/>
    </sheetView>
  </sheetViews>
  <sheetFormatPr defaultRowHeight="13.8"/>
  <cols>
    <col min="1" max="1" width="18.796875" bestFit="1" customWidth="1"/>
    <col min="2" max="2" width="36.796875" bestFit="1" customWidth="1"/>
    <col min="3" max="3" width="35.59765625" bestFit="1" customWidth="1"/>
    <col min="4" max="4" width="33.296875" bestFit="1" customWidth="1"/>
    <col min="5" max="5" width="6.296875" customWidth="1"/>
    <col min="6" max="6" width="19.09765625" bestFit="1" customWidth="1"/>
    <col min="7" max="7" width="27.69921875" bestFit="1" customWidth="1"/>
    <col min="8" max="8" width="5.3984375" customWidth="1"/>
    <col min="9" max="9" width="21.09765625" bestFit="1" customWidth="1"/>
    <col min="10" max="11" width="35.09765625" bestFit="1" customWidth="1"/>
    <col min="12" max="15" width="9.69921875" bestFit="1" customWidth="1"/>
    <col min="16" max="16" width="15.59765625" bestFit="1" customWidth="1"/>
    <col min="17" max="17" width="12.09765625" bestFit="1" customWidth="1"/>
  </cols>
  <sheetData>
    <row r="1" spans="1:4">
      <c r="A1" s="17" t="s">
        <v>316</v>
      </c>
      <c r="B1" s="17"/>
      <c r="C1" s="17"/>
      <c r="D1" s="17"/>
    </row>
    <row r="2" spans="1:4">
      <c r="A2" s="17" t="s">
        <v>317</v>
      </c>
      <c r="B2" s="17"/>
      <c r="C2" s="17"/>
      <c r="D2" s="17"/>
    </row>
    <row r="3" spans="1:4">
      <c r="A3" s="12" t="s">
        <v>314</v>
      </c>
      <c r="B3" s="15" t="s">
        <v>313</v>
      </c>
      <c r="C3" s="17"/>
      <c r="D3" s="17"/>
    </row>
    <row r="4" spans="1:4">
      <c r="A4" s="13" t="s">
        <v>24</v>
      </c>
      <c r="B4" s="15">
        <v>1754</v>
      </c>
    </row>
    <row r="5" spans="1:4">
      <c r="A5" s="14" t="s">
        <v>23</v>
      </c>
      <c r="B5" s="15">
        <v>217</v>
      </c>
    </row>
    <row r="6" spans="1:4">
      <c r="A6" s="14" t="s">
        <v>19</v>
      </c>
      <c r="B6" s="15">
        <v>1537</v>
      </c>
    </row>
    <row r="7" spans="1:4">
      <c r="A7" s="13" t="s">
        <v>315</v>
      </c>
      <c r="B7" s="15">
        <v>1754</v>
      </c>
    </row>
    <row r="21" spans="1:4">
      <c r="D21" s="27">
        <f>GETPIVOTDATA("EA Play Season Pass
Price",$A$24)</f>
        <v>600</v>
      </c>
    </row>
    <row r="22" spans="1:4">
      <c r="A22" s="12" t="s">
        <v>16</v>
      </c>
      <c r="B22" t="s">
        <v>24</v>
      </c>
    </row>
    <row r="24" spans="1:4">
      <c r="A24" s="12" t="s">
        <v>314</v>
      </c>
      <c r="B24" s="15" t="s">
        <v>319</v>
      </c>
      <c r="D24" s="26">
        <v>1350</v>
      </c>
    </row>
    <row r="25" spans="1:4">
      <c r="A25" s="13" t="s">
        <v>18</v>
      </c>
      <c r="B25" s="23">
        <v>600</v>
      </c>
    </row>
    <row r="26" spans="1:4">
      <c r="A26" s="13" t="s">
        <v>315</v>
      </c>
      <c r="B26" s="23">
        <v>600</v>
      </c>
    </row>
    <row r="32" spans="1:4">
      <c r="A32" s="17" t="s">
        <v>320</v>
      </c>
    </row>
    <row r="33" spans="1:4">
      <c r="A33" s="12" t="s">
        <v>16</v>
      </c>
      <c r="B33" t="s">
        <v>24</v>
      </c>
    </row>
    <row r="35" spans="1:4">
      <c r="A35" s="12" t="s">
        <v>314</v>
      </c>
      <c r="B35" s="15" t="s">
        <v>321</v>
      </c>
    </row>
    <row r="36" spans="1:4">
      <c r="A36" s="13" t="s">
        <v>22</v>
      </c>
      <c r="B36" s="23">
        <v>0</v>
      </c>
      <c r="D36" s="28">
        <f>GETPIVOTDATA("Minecraft Season Pass Price",$A$35)</f>
        <v>940</v>
      </c>
    </row>
    <row r="37" spans="1:4">
      <c r="A37" s="13" t="s">
        <v>26</v>
      </c>
      <c r="B37" s="23">
        <v>540</v>
      </c>
    </row>
    <row r="38" spans="1:4">
      <c r="A38" s="13" t="s">
        <v>18</v>
      </c>
      <c r="B38" s="23">
        <v>400</v>
      </c>
    </row>
    <row r="39" spans="1:4">
      <c r="A39" s="13" t="s">
        <v>315</v>
      </c>
      <c r="B39" s="23"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BI96"/>
  <sheetViews>
    <sheetView showGridLines="0" tabSelected="1" zoomScale="55" zoomScaleNormal="55" workbookViewId="0">
      <selection activeCell="AE32" sqref="AE32"/>
    </sheetView>
  </sheetViews>
  <sheetFormatPr defaultRowHeight="13.8"/>
  <cols>
    <col min="1" max="1" width="24.09765625" style="16" customWidth="1"/>
    <col min="2" max="2" width="3.59765625" customWidth="1"/>
    <col min="12" max="12" width="6.59765625" customWidth="1"/>
  </cols>
  <sheetData>
    <row r="1" spans="1:61" s="16" customFormat="1" ht="71.400000000000006" customHeight="1"/>
    <row r="2" spans="1:61" ht="39" customHeight="1">
      <c r="A2" s="22"/>
      <c r="B2" s="19" t="s">
        <v>318</v>
      </c>
      <c r="C2" s="20"/>
      <c r="D2" s="20"/>
      <c r="E2" s="20"/>
      <c r="F2" s="20"/>
      <c r="G2" s="20"/>
      <c r="H2" s="21"/>
      <c r="I2" s="7"/>
      <c r="J2" s="18"/>
      <c r="K2" s="18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</row>
    <row r="3" spans="1:61" ht="8.2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</row>
    <row r="4" spans="1:61" ht="7.5" customHeight="1">
      <c r="B4" s="7"/>
      <c r="C4" s="18"/>
      <c r="D4" s="18"/>
      <c r="E4" s="18"/>
      <c r="F4" s="18"/>
      <c r="G4" s="18"/>
      <c r="H4" s="18"/>
      <c r="I4" s="18"/>
      <c r="J4" s="18"/>
      <c r="K4" s="18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 ht="10.5" customHeight="1">
      <c r="B5" s="7"/>
      <c r="C5" s="18"/>
      <c r="D5" s="18"/>
      <c r="E5" s="18"/>
      <c r="F5" s="18"/>
      <c r="G5" s="18"/>
      <c r="H5" s="18"/>
      <c r="I5" s="18"/>
      <c r="J5" s="18"/>
      <c r="K5" s="1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 ht="9.75" customHeight="1">
      <c r="B6" s="7"/>
      <c r="C6" s="18"/>
      <c r="D6" s="18"/>
      <c r="E6" s="18"/>
      <c r="F6" s="18"/>
      <c r="G6" s="18"/>
      <c r="H6" s="18"/>
      <c r="I6" s="18"/>
      <c r="J6" s="18"/>
      <c r="K6" s="18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 ht="33" customHeight="1">
      <c r="B7" s="7"/>
      <c r="C7" s="18"/>
      <c r="D7" s="18"/>
      <c r="E7" s="18"/>
      <c r="F7" s="18"/>
      <c r="G7" s="18"/>
      <c r="H7" s="18"/>
      <c r="I7" s="18"/>
      <c r="J7" s="18"/>
      <c r="K7" s="18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B8" s="7"/>
      <c r="C8" s="18"/>
      <c r="D8" s="18"/>
      <c r="E8" s="18"/>
      <c r="F8" s="18"/>
      <c r="G8" s="18"/>
      <c r="H8" s="18"/>
      <c r="I8" s="18"/>
      <c r="J8" s="18"/>
      <c r="K8" s="18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B9" s="7"/>
      <c r="C9" s="18"/>
      <c r="D9" s="18"/>
      <c r="E9" s="18"/>
      <c r="F9" s="18"/>
      <c r="G9" s="18"/>
      <c r="H9" s="18"/>
      <c r="I9" s="18"/>
      <c r="J9" s="18"/>
      <c r="K9" s="18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</row>
    <row r="10" spans="1:61">
      <c r="B10" s="7"/>
      <c r="C10" s="18"/>
      <c r="D10" s="18"/>
      <c r="E10" s="18"/>
      <c r="F10" s="18"/>
      <c r="G10" s="18"/>
      <c r="H10" s="18"/>
      <c r="I10" s="18"/>
      <c r="J10" s="18"/>
      <c r="K10" s="18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</row>
    <row r="11" spans="1:61">
      <c r="B11" s="7"/>
      <c r="C11" s="18"/>
      <c r="D11" s="24"/>
      <c r="E11" s="18"/>
      <c r="F11" s="18"/>
      <c r="G11" s="18"/>
      <c r="H11" s="18"/>
      <c r="I11" s="18"/>
      <c r="J11" s="18"/>
      <c r="K11" s="25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B12" s="7"/>
      <c r="C12" s="18"/>
      <c r="D12" s="18"/>
      <c r="E12" s="18"/>
      <c r="F12" s="18"/>
      <c r="G12" s="18"/>
      <c r="H12" s="18"/>
      <c r="I12" s="18"/>
      <c r="J12" s="18"/>
      <c r="K12" s="18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B13" s="7"/>
      <c r="C13" s="18"/>
      <c r="D13" s="18"/>
      <c r="E13" s="18"/>
      <c r="F13" s="18"/>
      <c r="G13" s="18"/>
      <c r="H13" s="18"/>
      <c r="I13" s="18"/>
      <c r="J13" s="18"/>
      <c r="K13" s="18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B14" s="7"/>
      <c r="C14" s="18"/>
      <c r="D14" s="18"/>
      <c r="E14" s="18"/>
      <c r="F14" s="18"/>
      <c r="G14" s="18"/>
      <c r="H14" s="18"/>
      <c r="I14" s="18"/>
      <c r="J14" s="18"/>
      <c r="K14" s="18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B15" s="7"/>
      <c r="C15" s="18"/>
      <c r="D15" s="18"/>
      <c r="E15" s="18"/>
      <c r="F15" s="18"/>
      <c r="G15" s="18"/>
      <c r="H15" s="18"/>
      <c r="I15" s="18"/>
      <c r="J15" s="18"/>
      <c r="K15" s="18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2:6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2:6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2:6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2:6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2:6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2:6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2:6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</row>
    <row r="24" spans="2:6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2:6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2:6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2:6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2:6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2:6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2:6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2:6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2:6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2:6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2:6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2:6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2:6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2:6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2:6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2:6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2:6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2:6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2:6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2:6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</row>
    <row r="44" spans="2:6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2:6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</row>
    <row r="46" spans="2:6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</row>
    <row r="47" spans="2:6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</row>
    <row r="48" spans="2:6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</row>
    <row r="49" spans="2:6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</row>
    <row r="50" spans="2:6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</row>
    <row r="51" spans="2:6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</row>
    <row r="52" spans="2:6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</row>
    <row r="53" spans="2:6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</row>
    <row r="54" spans="2:6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</row>
    <row r="55" spans="2:6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</row>
    <row r="56" spans="2:6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</row>
    <row r="57" spans="2:6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</row>
    <row r="58" spans="2:6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</row>
    <row r="59" spans="2:6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</row>
    <row r="60" spans="2:6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</row>
    <row r="61" spans="2:6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</row>
    <row r="62" spans="2:6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</row>
    <row r="63" spans="2:6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</row>
    <row r="64" spans="2:6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</row>
    <row r="65" spans="2:6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</row>
    <row r="66" spans="2:6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</row>
    <row r="67" spans="2:6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</row>
    <row r="68" spans="2:6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</row>
    <row r="69" spans="2:6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</row>
    <row r="70" spans="2:6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</row>
    <row r="71" spans="2:6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</row>
    <row r="72" spans="2:6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</row>
    <row r="73" spans="2:6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</row>
    <row r="74" spans="2:6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</row>
    <row r="75" spans="2:6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</row>
    <row r="76" spans="2:6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</row>
    <row r="77" spans="2:6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</row>
    <row r="78" spans="2:6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</row>
    <row r="79" spans="2:6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</row>
    <row r="80" spans="2:6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</row>
    <row r="81" spans="2:6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</row>
    <row r="82" spans="2:6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</row>
    <row r="83" spans="2:6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</row>
    <row r="84" spans="2:6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</row>
    <row r="85" spans="2:6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</row>
    <row r="86" spans="2:6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</row>
    <row r="87" spans="2:6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</row>
    <row r="88" spans="2:6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</row>
    <row r="89" spans="2:6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</row>
    <row r="90" spans="2:6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</row>
    <row r="91" spans="2:6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</row>
    <row r="92" spans="2:6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</row>
    <row r="93" spans="2:6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</row>
    <row r="94" spans="2:6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</row>
    <row r="95" spans="2:6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</row>
    <row r="96" spans="2:6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Jorge Marley</cp:lastModifiedBy>
  <dcterms:created xsi:type="dcterms:W3CDTF">2024-12-19T13:13:10Z</dcterms:created>
  <dcterms:modified xsi:type="dcterms:W3CDTF">2026-02-09T02:54:12Z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